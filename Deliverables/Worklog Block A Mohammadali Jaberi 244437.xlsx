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C8189AD7-FCAF-4B8A-B2D5-C0CAB746FEA1}" xr6:coauthVersionLast="47" xr6:coauthVersionMax="47" xr10:uidLastSave="{00000000-0000-0000-0000-000000000000}"/>
  <bookViews>
    <workbookView xWindow="-108" yWindow="-108" windowWidth="23256" windowHeight="12456" xr2:uid="{00000000-000D-0000-FFFF-FFFF00000000}"/>
  </bookViews>
  <sheets>
    <sheet name="Worklog_Tasks&amp;Times" sheetId="1" r:id="rId1"/>
    <sheet name="Overview" sheetId="2" r:id="rId2"/>
    <sheet name="Drop-downs" sheetId="3" state="hidden" r:id="rId3"/>
  </sheets>
  <definedNames>
    <definedName name="_xlnm._FilterDatabase" localSheetId="0" hidden="1">'Worklog_Tasks&amp;Times'!$A$1:$K$23</definedName>
    <definedName name="_xlnm.Print_Area" localSheetId="0">'Worklog_Tasks&amp;Times'!$A$1:$K$150</definedName>
    <definedName name="Z_8BAC9A6B_5D32_4E8D_967D_E17D357516F8_.wvu.FilterData" localSheetId="0" hidden="1">'Worklog_Tasks&amp;Times'!$A$1:$K$23</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2" i="1" l="1"/>
  <c r="I103" i="1"/>
  <c r="I104" i="1"/>
  <c r="I81" i="1"/>
  <c r="I57" i="1"/>
  <c r="I58" i="1"/>
  <c r="I59" i="1"/>
  <c r="I60" i="1"/>
  <c r="I34" i="1"/>
  <c r="I35" i="1"/>
  <c r="I36" i="1"/>
  <c r="I37" i="1"/>
  <c r="I38" i="1"/>
  <c r="I39" i="1"/>
  <c r="I40" i="1"/>
  <c r="I41" i="1"/>
  <c r="I42" i="1"/>
  <c r="I22" i="1"/>
  <c r="I17" i="1"/>
  <c r="I18" i="1"/>
  <c r="I19" i="1"/>
  <c r="I20" i="1"/>
  <c r="I16" i="1"/>
  <c r="I15" i="1"/>
  <c r="I14" i="1"/>
  <c r="I80" i="1"/>
  <c r="I76" i="1"/>
  <c r="I77" i="1"/>
  <c r="I78" i="1"/>
  <c r="I79" i="1"/>
  <c r="I88" i="1"/>
  <c r="E5" i="2" a="1"/>
  <c r="E5" i="2" s="1"/>
  <c r="F5" i="2" a="1"/>
  <c r="F5" i="2" s="1"/>
  <c r="G5" i="2" a="1"/>
  <c r="G5" i="2" s="1"/>
  <c r="H5" i="2" a="1"/>
  <c r="H5" i="2" s="1"/>
  <c r="I5" i="2" a="1"/>
  <c r="I5" i="2" s="1"/>
  <c r="J5" i="2" a="1"/>
  <c r="J5" i="2" s="1"/>
  <c r="E6" i="2" a="1"/>
  <c r="E6" i="2" s="1"/>
  <c r="F6" i="2" a="1"/>
  <c r="F6" i="2" s="1"/>
  <c r="G6" i="2" a="1"/>
  <c r="G6" i="2" s="1"/>
  <c r="H6" i="2" a="1"/>
  <c r="H6" i="2" s="1"/>
  <c r="I6" i="2" a="1"/>
  <c r="I6" i="2" s="1"/>
  <c r="J6" i="2" a="1"/>
  <c r="J6" i="2" s="1"/>
  <c r="E7" i="2" a="1"/>
  <c r="E7" i="2" s="1"/>
  <c r="F7" i="2" a="1"/>
  <c r="F7" i="2" s="1"/>
  <c r="G7" i="2" a="1"/>
  <c r="G7" i="2" s="1"/>
  <c r="H7" i="2" a="1"/>
  <c r="H7" i="2" s="1"/>
  <c r="I7" i="2" a="1"/>
  <c r="I7" i="2" s="1"/>
  <c r="J7" i="2" a="1"/>
  <c r="J7" i="2" s="1"/>
  <c r="E8" i="2" a="1"/>
  <c r="E8" i="2" s="1"/>
  <c r="F8" i="2" a="1"/>
  <c r="F8" i="2" s="1"/>
  <c r="G8" i="2" a="1"/>
  <c r="G8" i="2" s="1"/>
  <c r="H8" i="2" a="1"/>
  <c r="H8" i="2" s="1"/>
  <c r="I8" i="2" a="1"/>
  <c r="I8" i="2" s="1"/>
  <c r="J8" i="2" a="1"/>
  <c r="J8" i="2" s="1"/>
  <c r="E9" i="2" a="1"/>
  <c r="E9" i="2" s="1"/>
  <c r="F9" i="2" a="1"/>
  <c r="F9" i="2" s="1"/>
  <c r="G9" i="2" a="1"/>
  <c r="G9" i="2" s="1"/>
  <c r="H9" i="2" a="1"/>
  <c r="H9" i="2" s="1"/>
  <c r="I9" i="2" a="1"/>
  <c r="I9" i="2" s="1"/>
  <c r="J9" i="2" a="1"/>
  <c r="J9" i="2" s="1"/>
  <c r="E10" i="2" a="1"/>
  <c r="E10" i="2" s="1"/>
  <c r="F10" i="2" a="1"/>
  <c r="F10" i="2" s="1"/>
  <c r="G10" i="2" a="1"/>
  <c r="G10" i="2" s="1"/>
  <c r="H10" i="2" a="1"/>
  <c r="H10" i="2" s="1"/>
  <c r="I10" i="2" a="1"/>
  <c r="I10" i="2" s="1"/>
  <c r="J10" i="2" a="1"/>
  <c r="J10" i="2" s="1"/>
  <c r="J4" i="2" a="1"/>
  <c r="J4" i="2" s="1"/>
  <c r="I4" i="2" a="1"/>
  <c r="I4" i="2" s="1"/>
  <c r="H4" i="2" a="1"/>
  <c r="H4" i="2" s="1"/>
  <c r="G4" i="2" a="1"/>
  <c r="G4" i="2" s="1"/>
  <c r="F4" i="2" a="1"/>
  <c r="F4" i="2" s="1"/>
  <c r="E4" i="2" a="1"/>
  <c r="E4" i="2" s="1"/>
  <c r="D5" i="2" a="1"/>
  <c r="D5" i="2" s="1"/>
  <c r="D6" i="2" a="1"/>
  <c r="D6" i="2" s="1"/>
  <c r="D7" i="2" a="1"/>
  <c r="D7" i="2" s="1"/>
  <c r="D8" i="2" a="1"/>
  <c r="D8" i="2" s="1"/>
  <c r="D9" i="2" a="1"/>
  <c r="D9" i="2" s="1"/>
  <c r="D10" i="2" a="1"/>
  <c r="D10" i="2" s="1"/>
  <c r="D4" i="2" a="1"/>
  <c r="D4" i="2" s="1"/>
  <c r="C10" i="2" a="1"/>
  <c r="C10" i="2" s="1"/>
  <c r="C9" i="2" a="1"/>
  <c r="C9" i="2" s="1"/>
  <c r="C8" i="2" a="1"/>
  <c r="C8" i="2" s="1"/>
  <c r="C7" i="2" a="1"/>
  <c r="C7" i="2" s="1"/>
  <c r="C6" i="2" a="1"/>
  <c r="C6" i="2" s="1"/>
  <c r="C4" i="2" a="1"/>
  <c r="C4" i="2" s="1"/>
  <c r="C5" i="2" a="1"/>
  <c r="C5" i="2" s="1"/>
  <c r="B10" i="2"/>
  <c r="B9" i="2"/>
  <c r="B8" i="2"/>
  <c r="B7" i="2"/>
  <c r="B6" i="2"/>
  <c r="B5" i="2"/>
  <c r="B4" i="2"/>
  <c r="K3" i="2"/>
  <c r="B3" i="2"/>
  <c r="H148" i="1"/>
  <c r="G148" i="1"/>
  <c r="I147" i="1"/>
  <c r="I146" i="1"/>
  <c r="I145" i="1"/>
  <c r="I144" i="1"/>
  <c r="I143" i="1"/>
  <c r="I142" i="1"/>
  <c r="I141" i="1"/>
  <c r="I140" i="1"/>
  <c r="I139" i="1"/>
  <c r="I138" i="1"/>
  <c r="H134" i="1"/>
  <c r="G134" i="1"/>
  <c r="I133" i="1"/>
  <c r="I132" i="1"/>
  <c r="I131" i="1"/>
  <c r="I130" i="1"/>
  <c r="I129" i="1"/>
  <c r="I128" i="1"/>
  <c r="I127" i="1"/>
  <c r="I126" i="1"/>
  <c r="I125" i="1"/>
  <c r="I124" i="1"/>
  <c r="H120" i="1"/>
  <c r="G120" i="1"/>
  <c r="I119" i="1"/>
  <c r="I118" i="1"/>
  <c r="I117" i="1"/>
  <c r="I116" i="1"/>
  <c r="I115" i="1"/>
  <c r="I114" i="1"/>
  <c r="I113" i="1"/>
  <c r="I112" i="1"/>
  <c r="I111" i="1"/>
  <c r="I110" i="1"/>
  <c r="H106" i="1"/>
  <c r="G106" i="1"/>
  <c r="I105" i="1"/>
  <c r="I101" i="1"/>
  <c r="I100" i="1"/>
  <c r="I99" i="1"/>
  <c r="I98" i="1"/>
  <c r="I97" i="1"/>
  <c r="I96" i="1"/>
  <c r="I95" i="1"/>
  <c r="I94" i="1"/>
  <c r="I93" i="1"/>
  <c r="H89" i="1"/>
  <c r="G89" i="1"/>
  <c r="I74" i="1"/>
  <c r="I73" i="1"/>
  <c r="I72" i="1"/>
  <c r="I71" i="1"/>
  <c r="I70" i="1"/>
  <c r="I69" i="1"/>
  <c r="I68" i="1"/>
  <c r="I67" i="1"/>
  <c r="H63" i="1"/>
  <c r="G63" i="1"/>
  <c r="I62" i="1"/>
  <c r="I61" i="1"/>
  <c r="I56" i="1"/>
  <c r="I55" i="1"/>
  <c r="I54" i="1"/>
  <c r="I53" i="1"/>
  <c r="I52" i="1"/>
  <c r="I51" i="1"/>
  <c r="I50" i="1"/>
  <c r="I49" i="1"/>
  <c r="H45" i="1"/>
  <c r="G45" i="1"/>
  <c r="I44" i="1"/>
  <c r="I43" i="1"/>
  <c r="I33" i="1"/>
  <c r="I32" i="1"/>
  <c r="I31" i="1"/>
  <c r="I30" i="1"/>
  <c r="I29" i="1"/>
  <c r="I28" i="1"/>
  <c r="I27" i="1"/>
  <c r="H23" i="1"/>
  <c r="G23" i="1"/>
  <c r="I13" i="1"/>
  <c r="I12" i="1"/>
  <c r="I11" i="1"/>
  <c r="I10" i="1"/>
  <c r="I9" i="1"/>
  <c r="I8" i="1"/>
  <c r="I7" i="1"/>
  <c r="I6" i="1"/>
  <c r="I5" i="1"/>
  <c r="I106" i="1" l="1"/>
  <c r="J11" i="2"/>
  <c r="G11" i="2"/>
  <c r="F11" i="2"/>
  <c r="H11" i="2"/>
  <c r="I11" i="2"/>
  <c r="E11" i="2"/>
  <c r="K5" i="2"/>
  <c r="K7" i="2"/>
  <c r="K8" i="2"/>
  <c r="K9" i="2"/>
  <c r="D11" i="2"/>
  <c r="K6" i="2"/>
  <c r="K10" i="2"/>
  <c r="H150" i="1"/>
  <c r="C11" i="2"/>
  <c r="K4" i="2"/>
  <c r="I23" i="1"/>
  <c r="I45" i="1"/>
  <c r="I63" i="1"/>
  <c r="I89" i="1"/>
  <c r="I120" i="1"/>
  <c r="I134" i="1"/>
  <c r="I148" i="1"/>
  <c r="G150" i="1"/>
  <c r="I1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<sst xmlns="http://schemas.openxmlformats.org/spreadsheetml/2006/main" count="655" uniqueCount="254">
  <si>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</si>
  <si>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</si>
  <si>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</si>
  <si>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</si>
  <si>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</si>
  <si>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</si>
  <si>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</si>
  <si>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</si>
  <si>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</si>
  <si>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</si>
  <si>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</si>
  <si>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</si>
  <si>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</si>
  <si>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</si>
  <si>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</si>
  <si>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</si>
  <si>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Max 4 hours tasks</t>
  </si>
  <si>
    <t>ILO 0.2</t>
  </si>
  <si>
    <t>ILO 7.1</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</si>
  <si>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</si>
  <si>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</si>
  <si>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</si>
  <si>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</si>
  <si>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</si>
  <si>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</si>
  <si>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</si>
  <si>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</si>
  <si>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 xml:space="preserve">Week 8 </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</si>
  <si>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</si>
  <si>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</si>
  <si>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</si>
  <si>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</si>
  <si>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</si>
  <si>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</si>
  <si>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</si>
  <si>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</si>
  <si>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</si>
  <si>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</si>
  <si>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</si>
  <si>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</si>
  <si>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</si>
  <si>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t>Task Status</t>
  </si>
  <si>
    <t>ILO selection</t>
  </si>
  <si>
    <t>-</t>
  </si>
  <si>
    <t>Planned</t>
  </si>
  <si>
    <t>Design</t>
  </si>
  <si>
    <t>ILO 0.1</t>
  </si>
  <si>
    <t>Unplanned</t>
  </si>
  <si>
    <t>Meeting</t>
  </si>
  <si>
    <t>Blocked</t>
  </si>
  <si>
    <t>Programming</t>
  </si>
  <si>
    <t>ILO 1.1</t>
  </si>
  <si>
    <t>In-Progress</t>
  </si>
  <si>
    <t>Research</t>
  </si>
  <si>
    <t>ILO 2.1</t>
  </si>
  <si>
    <t>Done</t>
  </si>
  <si>
    <t>Testing</t>
  </si>
  <si>
    <t>ILO 3.1</t>
  </si>
  <si>
    <t>Delayed</t>
  </si>
  <si>
    <t>Workshop</t>
  </si>
  <si>
    <t>Cancelled</t>
  </si>
  <si>
    <t>Planning</t>
  </si>
  <si>
    <t>ILO 10.1</t>
  </si>
  <si>
    <t>Evidencing</t>
  </si>
  <si>
    <t>Debugging</t>
  </si>
  <si>
    <t>Lecture</t>
  </si>
  <si>
    <t>Study</t>
  </si>
  <si>
    <t>Distraction</t>
  </si>
  <si>
    <t>Break</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</si>
  <si>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</si>
  <si>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watching movie</t>
  </si>
  <si>
    <t>We watched Minority report movie which was about the crime which police use psychic technology to stopped the crime and arrest murder before they commit a crime .</t>
  </si>
  <si>
    <t>First Meeting of AI and data science</t>
  </si>
  <si>
    <t>We was there to get  information about this course and to be familiar with our python and math teachers and get to know that when we don't feel well who we can met.</t>
  </si>
  <si>
    <t>Informed about how to use worklog</t>
  </si>
  <si>
    <t>In our data lab Edirlei and Elavendan came to our class to teach us how to use work log and learning log</t>
  </si>
  <si>
    <t xml:space="preserve">Did the Tuesday quizzes </t>
  </si>
  <si>
    <t>I did the the Tuesday quizzes based on context that we have it</t>
  </si>
  <si>
    <t xml:space="preserve">I did the the Monday quizzes with delay because I did not based on what context can I answer the quiestion </t>
  </si>
  <si>
    <t>Wednesday quizzes</t>
  </si>
  <si>
    <t>Wednesday text</t>
  </si>
  <si>
    <t>I did the Wednesday quizzes based on the context we had it was about history of AI and the question that I like it was can machine think ro not.</t>
  </si>
  <si>
    <t>I read the whole context and based on that I was able to answer 3 questions.</t>
  </si>
  <si>
    <t>install github</t>
  </si>
  <si>
    <t xml:space="preserve">Monday quizzes </t>
  </si>
  <si>
    <t>Reviewing Python</t>
  </si>
  <si>
    <t>In back in my country I used a to programing with python and I saw it's our course so I decide to review it to be comfortable in course.</t>
  </si>
  <si>
    <t>https://www.w3schools.com/python/default.asp</t>
  </si>
  <si>
    <t>https://github.com/BredaUniversityADSAI/2024-25A-FAI1-ADSAI--MohammadaliJaberi244437</t>
  </si>
  <si>
    <t>https://adsai.buas.nl/Study%20Content/Artificial%20Intelligence/3.%20History%20of%20AI%20&amp;%20GitHub.html</t>
  </si>
  <si>
    <t>https://github.com/BredaUniversityADSAI/2024-25A-FAI1-ADSAI--MohammadaliJaberi244437/blob/main/Quizzes%20-%20Project%201A%202024-2025%20-%20Breda%20University%20of%20Applied%20Sciences%20Wednesday.pdf</t>
  </si>
  <si>
    <t>https://github.com/BredaUniversityADSAI/2024-25A-FAI1-ADSAI--MohammadaliJaberi244437/blob/main/Quizzes%20-%20Project%201A%202024-2025%20-%20Breda%20University%20of%20Applied%20Sciences%20(Monday).pdf</t>
  </si>
  <si>
    <t>https://github.com/BredaUniversityADSAI/2024-25A-FAI1-ADSAI--MohammadaliJaberi244437/blob/main/Quizzes-%20Project%201A%202024-2025%20-%20Breda%20University%20of%20Applied%20Sciences%20(TUESDAY).pdf</t>
  </si>
  <si>
    <t>did the Python Task</t>
  </si>
  <si>
    <t>datalab prepration</t>
  </si>
  <si>
    <t>I did the assesment on datalab, answered questions</t>
  </si>
  <si>
    <t xml:space="preserve">Introduction to Power BI </t>
  </si>
  <si>
    <t>I installed the Power BI but I couldn’t finish the data camp tasks</t>
  </si>
  <si>
    <t xml:space="preserve">SDG </t>
  </si>
  <si>
    <t>I watched the video on datalab about sdg and I also seached a bit about it to understand better</t>
  </si>
  <si>
    <t>data analyst</t>
  </si>
  <si>
    <t>I watched some video on youtube in Persian about Data Analyst to understand better</t>
  </si>
  <si>
    <t>Math quize</t>
  </si>
  <si>
    <t>I completed math quizes and resuly was't too bad</t>
  </si>
  <si>
    <t xml:space="preserve">defining the problem statement </t>
  </si>
  <si>
    <t>I watched the video about SDG and based that goals I defined problem statement to can find a good research questions</t>
  </si>
  <si>
    <t xml:space="preserve">Attending on Guest lecture </t>
  </si>
  <si>
    <t>I attend to the Guest lecture and it was very useful for me about Data Analyst</t>
  </si>
  <si>
    <t>Attending on SDG Kick-off Lecture</t>
  </si>
  <si>
    <t xml:space="preserve">I attend to the SDG Kick-Off lecture </t>
  </si>
  <si>
    <t>Introduction about researxh question</t>
  </si>
  <si>
    <t>I think I made a good researxh question and based on that I started to write a good intro duction</t>
  </si>
  <si>
    <t>data lab</t>
  </si>
  <si>
    <t xml:space="preserve">Power BI </t>
  </si>
  <si>
    <t>I installed Power BI and I did The other half of the Power BI</t>
  </si>
  <si>
    <t xml:space="preserve">Data lab </t>
  </si>
  <si>
    <t xml:space="preserve">I watched all the videos on data lab and also read all the context </t>
  </si>
  <si>
    <t>Excel</t>
  </si>
  <si>
    <t xml:space="preserve">I also practiced on Excel based on what data lab said </t>
  </si>
  <si>
    <t>I also watched some video on youtube in persian about Power BI to be more clear for me</t>
  </si>
  <si>
    <t>I wasn't able to watched the Data transformation in Power BI because I wasn't feel comfortable on Power BI yet</t>
  </si>
  <si>
    <t xml:space="preserve">Python </t>
  </si>
  <si>
    <t>I did the Data transformation in power BI video the thing that I wasn't able do it yesterday</t>
  </si>
  <si>
    <t>https://www.youtube.com/watch?v=JJ93WMzaiKY</t>
  </si>
  <si>
    <t>https://www.youtube.com/watch?v=C1QYzoJS-0w&amp;list=PLC6UZnripyEx7jcWGjlsPlf4RVVVz8P-y</t>
  </si>
  <si>
    <t xml:space="preserve">I watched all the videos on data lab and also I transformed my introduction to Power BI </t>
  </si>
  <si>
    <t>https://adsai.buas.nl/Study%20Content/DataScience/IntroToVariablesAndDataTransformation.html</t>
  </si>
  <si>
    <t>https://www.youtube.com/watch?v=2iT3B_w46_A&amp;list=PLKT0xIy9dB5gtN2UkFSiSuBrj855mY_HA</t>
  </si>
  <si>
    <t>https://www.youtube.com/watch?v=8rOiqzmdaOc</t>
  </si>
  <si>
    <t>I completed math quizes and I think I was good on it</t>
  </si>
  <si>
    <t xml:space="preserve">I had a problem to push my files and can use it for the evidence which I solve this </t>
  </si>
  <si>
    <t>I did not know how to make a evidence that’s why it tooks more time</t>
  </si>
  <si>
    <t xml:space="preserve">I downloaded and did it on VS code it wasn't that much hard yet  I did conditions </t>
  </si>
  <si>
    <t xml:space="preserve">I downloaded and did it on VS code it wasn't that much hard yet  I did variable </t>
  </si>
  <si>
    <t>https://github.com/BredaUniversityADSAI/2024-25A-FAI1-ADSAI--MohammadaliJaberi244437/blob/main/1.%20Variables.ipynb</t>
  </si>
  <si>
    <t xml:space="preserve"> https://github.com/BredaUniversityADSAI/2024-25A-FAI1-ADSAI--MohammadaliJaberi244437/blob/main/2.%20Conditional%20execution.ipynb</t>
  </si>
  <si>
    <t>practice coding bat</t>
  </si>
  <si>
    <t xml:space="preserve">practice Hacker </t>
  </si>
  <si>
    <t>questions was harder than what I expect</t>
  </si>
  <si>
    <t>https://github.com/BredaUniversityADSAI/2024-25A-FAI1-ADSAI--MohammadaliJaberi244437/blob/main/FIRST%20THURSDAY%20(IF%20AND%20ELSE).png</t>
  </si>
  <si>
    <t>https://github.com/BredaUniversityADSAI/2024-25A-FAI1-ADSAI--MohammadaliJaberi244437/blob/main/first%20Thursday.png</t>
  </si>
  <si>
    <t>Friday quizz</t>
  </si>
  <si>
    <t>https://github.com/BredaUniversityADSAI/2024-25A-FAI1-ADSAI--MohammadaliJaberi244437/blob/main/Friday%20Quiz%20first%20week.png</t>
  </si>
  <si>
    <t>Friday Data lab</t>
  </si>
  <si>
    <t>prepared my data for presentation</t>
  </si>
  <si>
    <t>Monday math quiz</t>
  </si>
  <si>
    <t>https://github.com/BredaUniversityADSAI/2024-25A-FAI1-ADSAI--MohammadaliJaberi244437/blob/main/Summary%20-%20Project%201A%202024-2025%20-%20Breda%20University%20of%20Applied%20Sciences%20Fisrt%20math%20quizz.pdf</t>
  </si>
  <si>
    <t>Monday data lab quiz</t>
  </si>
  <si>
    <t>https://github.com/BredaUniversityADSAI/2024-25A-FAI1-ADSAI--MohammadaliJaberi244437/blob/main/Quizzes%20-%20Project%201A%202024-2025%20-%20Breda%20University%20of%20Applied%20Sciences%20week%202%20Monday.pdf</t>
  </si>
  <si>
    <t xml:space="preserve">Monday Data lab </t>
  </si>
  <si>
    <t>Tuesday quiz</t>
  </si>
  <si>
    <t>https://github.com/BredaUniversityADSAI/2024-25A-FAI1-ADSAI--MohammadaliJaberi244437/blob/main/Summary%20-%20Project%201A%202024-2025%20-%20Breda%20University%20of%20Applied%20Sciences%20Week%202%20Tuesday.pdf</t>
  </si>
  <si>
    <t>Tuesday Data lab</t>
  </si>
  <si>
    <t>Wednesday data lab</t>
  </si>
  <si>
    <t>https://github.com/BredaUniversityADSAI/2024-25A-FAI1-ADSAI--MohammadaliJaberi244437/blob/main/Wednesday%20week%202.png</t>
  </si>
  <si>
    <t>Python pragraming</t>
  </si>
  <si>
    <t>Python programing</t>
  </si>
  <si>
    <t>Pragraming</t>
  </si>
  <si>
    <t>https://github.com/BredaUniversityADSAI/2024-25A-FAI1-ADSAI--MohammadaliJaberi244437/blob/main/3.%20Functions%20(1)%20tamrine%20saturday%20anjam%20shode.ipynb</t>
  </si>
  <si>
    <t>Function notbook</t>
  </si>
  <si>
    <t>https://github.com/BredaUniversityADSAI/2024-25A-FAI1-ADSAI--MohammadaliJaberi244437/blob/main/4.%20Loops%20(2)%20anjam%20shode.ipynb</t>
  </si>
  <si>
    <t>Loops</t>
  </si>
  <si>
    <t>Coding bat</t>
  </si>
  <si>
    <t>https://github.com/BredaUniversityADSAI/2024-25A-FAI1-ADSAI--MohammadaliJaberi244437/blob/main/friday%20week%202.png</t>
  </si>
  <si>
    <t>presentation</t>
  </si>
  <si>
    <t>finding data and searching for a good movie for my presentation</t>
  </si>
  <si>
    <t>https://github.com/BredaUniversityADSAI/2024-25A-FAI1-ADSAI--MohammadaliJaberi244437/blob/main/Math%20quiz%20week%203.png</t>
  </si>
  <si>
    <t>Math data lab</t>
  </si>
  <si>
    <t>Presentation</t>
  </si>
  <si>
    <t>working on my data for presentation</t>
  </si>
  <si>
    <t xml:space="preserve">I couldn't find good data also I wasn't sure about what I'm want to present </t>
  </si>
  <si>
    <t>Monday Quiz</t>
  </si>
  <si>
    <t>https://github.com/BredaUniversityADSAI/2024-25A-FAI1-ADSAI--MohammadaliJaberi244437/blob/main/Monday%20week%203%20quiz.png</t>
  </si>
  <si>
    <t>Tuesday</t>
  </si>
  <si>
    <t>Data lab</t>
  </si>
  <si>
    <t>Tueday quiz</t>
  </si>
  <si>
    <t>https://github.com/BredaUniversityADSAI/2024-25A-FAI1-ADSAI--MohammadaliJaberi244437/blob/main/Tuesday%20week%203.png</t>
  </si>
  <si>
    <t>Wednesday</t>
  </si>
  <si>
    <t>https://github.com/BredaUniversityADSAI/2024-25A-FAI1-ADSAI--MohammadaliJaberi244437/blob/main/Wednesday%20week%203%20quiz.png</t>
  </si>
  <si>
    <t>Programing</t>
  </si>
  <si>
    <t>https://github.com/BredaUniversityADSAI/2024-25A-FAI1-ADSAI--MohammadaliJaberi244437/blob/main/5.%20Strings(anjam%20shode).ipynb</t>
  </si>
  <si>
    <t>String notebook</t>
  </si>
  <si>
    <t>List note book</t>
  </si>
  <si>
    <t>coding bat</t>
  </si>
  <si>
    <t>https://github.com/BredaUniversityADSAI/2024-25A-FAI1-ADSAI--MohammadaliJaberi244437/blob/main/6.%20Lists(anjam%20shode).ipynb</t>
  </si>
  <si>
    <t>https://github.com/BredaUniversityADSAI/2024-25A-FAI1-ADSAI--MohammadaliJaberi244437/blob/main/week%203%20evidence%20coding%20bat.png</t>
  </si>
  <si>
    <t>reviewing my presentation</t>
  </si>
  <si>
    <t>checking  my presentation with data lab</t>
  </si>
  <si>
    <t>AI presentation</t>
  </si>
  <si>
    <t>Uploading my presentation to bright space</t>
  </si>
  <si>
    <t>https://github.com/BredaUniversityADSAI/2024-25A-FAI1-ADSAI--MohammadaliJaberi244437/blob/main/Mohammadali%20Jaberi%20_%20244437_%20ChatGPT%20(AI%20PRESENTATION).pdf</t>
  </si>
  <si>
    <t>https://github.com/BredaUniversityADSAI/2024-25A-FAI1-ADSAI--MohammadaliJaberi244437/blob/main/Monday%20quiz%20math%20week%204.png</t>
  </si>
  <si>
    <t>https://github.com/BredaUniversityADSAI/2024-25A-FAI1-ADSAI--MohammadaliJaberi244437/blob/main/Monday/Monday%20data%20lab%20(Evidence%20of%20Monday).pdf</t>
  </si>
  <si>
    <t>https://github.com/BredaUniversityADSAI/2024-25A-FAI1-ADSAI--MohammadaliJaberi244437/blob/main/certificate(1).pdf</t>
  </si>
  <si>
    <t>I couldn't underestand it so I listened so many times to get it better</t>
  </si>
  <si>
    <t>https://github.com/BredaUniversityADSAI/2024-25A-FAI1-ADSAI--MohammadaliJaberi244437/blob/main/WhatsApp%20Image%202024-10-31%20at%2001.22.31_3ae2f6b8.jpg</t>
  </si>
  <si>
    <t>https://github.com/BredaUniversityADSAI/2024-25A-FAI1-ADSAI--MohammadaliJaberi244437/blob/main/WhatsApp%20Image%202024-10-31%20at%2001.22.33_ba8782db.jpg</t>
  </si>
  <si>
    <t>https://github.com/BredaUniversityADSAI/2024-25A-FAI1-ADSAI--MohammadaliJaberi244437/blob/main/Wednesday/practicing%20excel%20on%20Wednesday%20(Wednesday%20evidence).xlsx</t>
  </si>
  <si>
    <t>Python Tuples</t>
  </si>
  <si>
    <t>https://github.com/BredaUniversityADSAI/2024-25A-FAI1-ADSAI--MohammadaliJaberi244437/blob/main/8.%20Tuples%20(%20anjam%20shode).ipynb</t>
  </si>
  <si>
    <t>Python Dictionaries</t>
  </si>
  <si>
    <t>https://github.com/BredaUniversityADSAI/2024-25A-FAI1-ADSAI--MohammadaliJaberi244437/blob/main/7.%20Dictionaries(anjam%20shode).ipynb</t>
  </si>
  <si>
    <t>https://github.com/BredaUniversityADSAI/2024-25A-FAI1-ADSAI--MohammadaliJaberi244437/blob/main/week%204%20programing.png</t>
  </si>
  <si>
    <t>https://github.com/BredaUniversityADSAI/2024-25A-FAI1-ADSAI--MohammadaliJaberi244437/blob/main/SDG_IndicatorsDashboard_Mohammadali.pbix</t>
  </si>
  <si>
    <t>Data camp course</t>
  </si>
  <si>
    <t>https://github.com/BredaUniversityADSAI/2024-25A-FAI1-ADSAI--MohammadaliJaberi244437/blob/main/Data%20camp%20friday.pdf</t>
  </si>
  <si>
    <t>preparing my data from SDG website</t>
  </si>
  <si>
    <t>https://github.com/BredaUniversityADSAI/2024-25A-FAI1-ADSAI--MohammadaliJaberi244437/blob/main/week%205%20math.png</t>
  </si>
  <si>
    <t>Data camp</t>
  </si>
  <si>
    <t>Data Visualisation data camp</t>
  </si>
  <si>
    <t>https://github.com/BredaUniversityADSAI/2024-25A-FAI1-ADSAI--MohammadaliJaberi244437/blob/main/certificate(%20Data%20visualisation%20Monday%20week%205).pdf</t>
  </si>
  <si>
    <t>Data Analysis</t>
  </si>
  <si>
    <t>https://github.com/BredaUniversityADSAI/2024-25A-FAI1-ADSAI--MohammadaliJaberi244437/blob/main/certificate(%20Monday%20week%205%20data%20camp).pdf</t>
  </si>
  <si>
    <t>to learn it better I watched some videos twice</t>
  </si>
  <si>
    <t xml:space="preserve">Working on my dashboard </t>
  </si>
  <si>
    <t>Math</t>
  </si>
  <si>
    <t>Practicing math for the final exam</t>
  </si>
  <si>
    <t xml:space="preserve">Math </t>
  </si>
  <si>
    <t>Practicing math for the final exam on Khan academy</t>
  </si>
  <si>
    <t>https://github.com/BredaUniversityADSAI/2024-25A-FAI1-ADSAI--MohammadaliJaberi244437/blob/main/Practicing%20math%20week%205.png</t>
  </si>
  <si>
    <t>Jupiter notebook Files</t>
  </si>
  <si>
    <t>data analysis</t>
  </si>
  <si>
    <t>https://github.com/BredaUniversityADSAI/2024-25A-FAI1-ADSAI--MohammadaliJaberi244437/blob/main/Week%205%20coding%20bat.png</t>
  </si>
  <si>
    <t>Friday data lab</t>
  </si>
  <si>
    <t>getting ready for math quizz</t>
  </si>
  <si>
    <t>https://github.com/BredaUniversityADSAI/2024-25A-FAI1-ADSAI--MohammadaliJaberi244437/blob/main/week%205%20Friday%20khan%20academy.png</t>
  </si>
  <si>
    <t>I did the math quiz for week 6</t>
  </si>
  <si>
    <t>https://github.com/BredaUniversityADSAI/2024-25A-FAI1-ADSAI--MohammadaliJaberi244437/blob/main/week%206%20Monday.png</t>
  </si>
  <si>
    <t>https://github.com/BredaUniversityADSAI/2024-25A-FAI1-ADSAI--MohammadaliJaberi244437/blob/main/Week%206%20data%20camp%20Monday.pdf</t>
  </si>
  <si>
    <t>Practicing math on Khan academy</t>
  </si>
  <si>
    <t>https://github.com/BredaUniversityADSAI/2024-25A-FAI1-ADSAI--MohammadaliJaberi244437/blob/main/Tuesday%20khan%20academy.png</t>
  </si>
  <si>
    <t>https://github.com/BredaUniversityADSAI/2024-25A-FAI1-ADSAI--MohammadaliJaberi244437/blob/main/WEDNESDAY%20WEEK%206%20KHAN.png</t>
  </si>
  <si>
    <t>Data lab contents</t>
  </si>
  <si>
    <t>Practicing math for the exam</t>
  </si>
  <si>
    <t>I practiced in Khan academy what I had problem before</t>
  </si>
  <si>
    <t>I did data lab of Thursday the youtube video about algoritms</t>
  </si>
  <si>
    <t>https://www.youtube.com/watch?v=8hly31xKli0&amp;t=3s</t>
  </si>
  <si>
    <t>https://github.com/BredaUniversityADSAI/2024-25A-FAI1-ADSAI--MohammadaliJaberi244437/blob/main/certificate(%20WEEK%207%20MONDAY%20).pdf</t>
  </si>
  <si>
    <t>Practicing Python</t>
  </si>
  <si>
    <t>https://www.hackerrank.com/challenges/python-arithmetic-operators/problem</t>
  </si>
  <si>
    <t>Python</t>
  </si>
  <si>
    <t xml:space="preserve">programing </t>
  </si>
  <si>
    <t>reviewing jupyters notebook</t>
  </si>
  <si>
    <t xml:space="preserve">Power Bi </t>
  </si>
  <si>
    <t>working on my Dahboard to mek it ready</t>
  </si>
  <si>
    <t xml:space="preserve">learning log </t>
  </si>
  <si>
    <t>working on my learning log to make It ready</t>
  </si>
  <si>
    <t>work log</t>
  </si>
  <si>
    <t>working on my work log to make it ready</t>
  </si>
  <si>
    <t>working on dashboard / and template</t>
  </si>
  <si>
    <t xml:space="preserve">working on my dashboard an dtemplate </t>
  </si>
  <si>
    <t>Programing in hacker website</t>
  </si>
  <si>
    <t>reviewing jupiter for orall exam</t>
  </si>
  <si>
    <t>It was just working on my dashboard for whole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</si>
</sst>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5"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sz val="8"/>
      <name val="Arial"/>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3" fillId="0" borderId="0" applyNumberFormat="0" applyFill="0" applyBorder="0" applyAlignment="0" applyProtection="0"/>
  </cellStyleXfs>
  <cellXfs count="74">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10" fillId="0" borderId="0" xfId="0" applyFont="1" applyAlignment="1">
      <alignment horizontal="left" vertical="top"/>
    </xf>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8" fillId="0" borderId="7" xfId="0" applyFont="1" applyBorder="1" applyAlignment="1">
      <alignment horizontal="left" vertical="top"/>
    </xf>
    <xf numFmtId="0" fontId="4" fillId="8" borderId="1" xfId="0" applyFont="1" applyFill="1" applyBorder="1" applyAlignment="1">
      <alignment vertical="center" wrapText="1"/>
    </xf>
    <xf numFmtId="166" fontId="8" fillId="0" borderId="0" xfId="0" applyNumberFormat="1" applyFont="1" applyAlignment="1">
      <alignment horizontal="right" vertical="top"/>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14" borderId="8" xfId="0" applyFont="1" applyFill="1" applyBorder="1" applyAlignment="1">
      <alignment vertical="center" wrapText="1"/>
    </xf>
    <xf numFmtId="0" fontId="4" fillId="14" borderId="9"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13" fillId="0" borderId="0" xfId="1" applyAlignment="1">
      <alignment horizontal="left" vertical="top"/>
    </xf>
    <xf numFmtId="0" fontId="13" fillId="0" borderId="0" xfId="1"/>
    <xf numFmtId="0" fontId="4" fillId="3" borderId="3" xfId="0" applyFont="1" applyFill="1" applyBorder="1" applyAlignment="1">
      <alignment horizontal="left" vertical="center" wrapText="1"/>
    </xf>
    <xf numFmtId="0" fontId="5" fillId="0" borderId="3" xfId="0" applyFont="1" applyBorder="1"/>
    <xf numFmtId="0" fontId="7" fillId="3" borderId="5" xfId="0" applyFont="1" applyFill="1" applyBorder="1" applyAlignment="1">
      <alignment vertical="center"/>
    </xf>
    <xf numFmtId="0" fontId="5" fillId="0" borderId="2" xfId="0" applyFont="1" applyBorder="1"/>
    <xf numFmtId="0" fontId="5" fillId="0" borderId="6"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4" borderId="5" xfId="0" applyFont="1" applyFill="1" applyBorder="1" applyAlignment="1">
      <alignment wrapText="1"/>
    </xf>
    <xf numFmtId="0" fontId="7" fillId="14" borderId="3" xfId="0" applyFont="1" applyFill="1" applyBorder="1"/>
    <xf numFmtId="0" fontId="5" fillId="0" borderId="8" xfId="0" applyFont="1" applyBorder="1"/>
    <xf numFmtId="0" fontId="7" fillId="14" borderId="3" xfId="0" applyFont="1" applyFill="1" applyBorder="1" applyAlignment="1">
      <alignment vertical="center"/>
    </xf>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7" fillId="13" borderId="5" xfId="0" applyFont="1" applyFill="1" applyBorder="1" applyAlignment="1">
      <alignment vertical="center"/>
    </xf>
    <xf numFmtId="0" fontId="5" fillId="7" borderId="0" xfId="0" applyFont="1" applyFill="1" applyAlignment="1">
      <alignment horizontal="center" vertical="center" wrapText="1"/>
    </xf>
    <xf numFmtId="0" fontId="11" fillId="6" borderId="0" xfId="0" applyFont="1" applyFill="1" applyAlignment="1">
      <alignment vertical="top" wrapText="1"/>
    </xf>
    <xf numFmtId="0" fontId="0" fillId="0" borderId="0" xfId="0"/>
  </cellXfs>
  <cellStyles count="2">
    <cellStyle name="Hyperlink" xfId="1" builtinId="8"/>
    <cellStyle name="Normal" xfId="0" builtinId="0"/>
  </cellStyles>
  <dxfs count="11">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redaUniversityADSAI/2024-25A-FAI1-ADSAI--MohammadaliJaberi244437/blob/main/first%20Thursday.png" TargetMode="External"/><Relationship Id="rId18" Type="http://schemas.openxmlformats.org/officeDocument/2006/relationships/hyperlink" Target="https://github.com/BredaUniversityADSAI/2024-25A-FAI1-ADSAI--MohammadaliJaberi244437/blob/main/Wednesday%20week%202.png" TargetMode="External"/><Relationship Id="rId26" Type="http://schemas.openxmlformats.org/officeDocument/2006/relationships/hyperlink" Target="https://github.com/BredaUniversityADSAI/2024-25A-FAI1-ADSAI--MohammadaliJaberi244437/blob/main/5.%20Strings(anjam%20shode).ipynb" TargetMode="External"/><Relationship Id="rId39" Type="http://schemas.openxmlformats.org/officeDocument/2006/relationships/hyperlink" Target="https://github.com/BredaUniversityADSAI/2024-25A-FAI1-ADSAI--MohammadaliJaberi244437/blob/main/week%204%20programing.png" TargetMode="External"/><Relationship Id="rId21" Type="http://schemas.openxmlformats.org/officeDocument/2006/relationships/hyperlink" Target="https://github.com/BredaUniversityADSAI/2024-25A-FAI1-ADSAI--MohammadaliJaberi244437/blob/main/friday%20week%202.png" TargetMode="External"/><Relationship Id="rId34" Type="http://schemas.openxmlformats.org/officeDocument/2006/relationships/hyperlink" Target="https://github.com/BredaUniversityADSAI/2024-25A-FAI1-ADSAI--MohammadaliJaberi244437/blob/main/WhatsApp%20Image%202024-10-31%20at%2001.22.33_ba8782db.jpg" TargetMode="External"/><Relationship Id="rId42" Type="http://schemas.openxmlformats.org/officeDocument/2006/relationships/hyperlink" Target="https://github.com/BredaUniversityADSAI/2024-25A-FAI1-ADSAI--MohammadaliJaberi244437/blob/main/certificate(%20Data%20visualisation%20Monday%20week%205).pdf" TargetMode="External"/><Relationship Id="rId47" Type="http://schemas.openxmlformats.org/officeDocument/2006/relationships/hyperlink" Target="https://github.com/BredaUniversityADSAI/2024-25A-FAI1-ADSAI--MohammadaliJaberi244437/blob/main/Week%206%20data%20camp%20Monday.pdf" TargetMode="External"/><Relationship Id="rId50" Type="http://schemas.openxmlformats.org/officeDocument/2006/relationships/hyperlink" Target="https://github.com/BredaUniversityADSAI/2024-25A-FAI1-ADSAI--MohammadaliJaberi244437/blob/main/week%205%20Friday%20khan%20academy.png" TargetMode="External"/><Relationship Id="rId7" Type="http://schemas.openxmlformats.org/officeDocument/2006/relationships/hyperlink" Target="https://www.youtube.com/watch?v=JJ93WMzaiKY" TargetMode="External"/><Relationship Id="rId2" Type="http://schemas.openxmlformats.org/officeDocument/2006/relationships/hyperlink" Target="https://github.com/BredaUniversityADSAI/2024-25A-FAI1-ADSAI--MohammadaliJaberi244437" TargetMode="External"/><Relationship Id="rId16" Type="http://schemas.openxmlformats.org/officeDocument/2006/relationships/hyperlink" Target="https://github.com/BredaUniversityADSAI/2024-25A-FAI1-ADSAI--MohammadaliJaberi244437/blob/main/Quizzes%20-%20Project%201A%202024-2025%20-%20Breda%20University%20of%20Applied%20Sciences%20week%202%20Monday.pdf" TargetMode="External"/><Relationship Id="rId29" Type="http://schemas.openxmlformats.org/officeDocument/2006/relationships/hyperlink" Target="https://github.com/BredaUniversityADSAI/2024-25A-FAI1-ADSAI--MohammadaliJaberi244437/blob/main/Mohammadali%20Jaberi%20_%20244437_%20ChatGPT%20(AI%20PRESENTATION).pdf" TargetMode="External"/><Relationship Id="rId11" Type="http://schemas.openxmlformats.org/officeDocument/2006/relationships/hyperlink" Target="https://github.com/BredaUniversityADSAI/2024-25A-FAI1-ADSAI--MohammadaliJaberi244437/blob/main/1.%20Variables.ipynb" TargetMode="External"/><Relationship Id="rId24" Type="http://schemas.openxmlformats.org/officeDocument/2006/relationships/hyperlink" Target="https://github.com/BredaUniversityADSAI/2024-25A-FAI1-ADSAI--MohammadaliJaberi244437/blob/main/Tuesday%20week%203.png" TargetMode="External"/><Relationship Id="rId32" Type="http://schemas.openxmlformats.org/officeDocument/2006/relationships/hyperlink" Target="https://github.com/BredaUniversityADSAI/2024-25A-FAI1-ADSAI--MohammadaliJaberi244437/blob/main/certificate(1).pdf" TargetMode="External"/><Relationship Id="rId37" Type="http://schemas.openxmlformats.org/officeDocument/2006/relationships/hyperlink" Target="https://github.com/BredaUniversityADSAI/2024-25A-FAI1-ADSAI--MohammadaliJaberi244437/blob/main/8.%20Tuples%20(%20anjam%20shode).ipynb" TargetMode="External"/><Relationship Id="rId40" Type="http://schemas.openxmlformats.org/officeDocument/2006/relationships/hyperlink" Target="https://github.com/BredaUniversityADSAI/2024-25A-FAI1-ADSAI--MohammadaliJaberi244437/blob/main/Data%20camp%20friday.pdf" TargetMode="External"/><Relationship Id="rId45" Type="http://schemas.openxmlformats.org/officeDocument/2006/relationships/hyperlink" Target="https://github.com/BredaUniversityADSAI/2024-25A-FAI1-ADSAI--MohammadaliJaberi244437/blob/main/Week%205%20coding%20bat.png" TargetMode="External"/><Relationship Id="rId53" Type="http://schemas.openxmlformats.org/officeDocument/2006/relationships/hyperlink" Target="https://www.hackerrank.com/challenges/python-arithmetic-operators/problem" TargetMode="External"/><Relationship Id="rId5" Type="http://schemas.openxmlformats.org/officeDocument/2006/relationships/hyperlink" Target="https://github.com/BredaUniversityADSAI/2024-25A-FAI1-ADSAI--MohammadaliJaberi244437/blob/main/Quizzes%20-%20Project%201A%202024-2025%20-%20Breda%20University%20of%20Applied%20Sciences%20(Monday).pdf" TargetMode="External"/><Relationship Id="rId10" Type="http://schemas.openxmlformats.org/officeDocument/2006/relationships/hyperlink" Target="https://www.youtube.com/watch?v=8rOiqzmdaOc" TargetMode="External"/><Relationship Id="rId19" Type="http://schemas.openxmlformats.org/officeDocument/2006/relationships/hyperlink" Target="https://github.com/BredaUniversityADSAI/2024-25A-FAI1-ADSAI--MohammadaliJaberi244437/blob/main/3.%20Functions%20(1)%20tamrine%20saturday%20anjam%20shode.ipynb" TargetMode="External"/><Relationship Id="rId31" Type="http://schemas.openxmlformats.org/officeDocument/2006/relationships/hyperlink" Target="https://github.com/BredaUniversityADSAI/2024-25A-FAI1-ADSAI--MohammadaliJaberi244437/blob/main/Monday/Monday%20data%20lab%20(Evidence%20of%20Monday).pdf" TargetMode="External"/><Relationship Id="rId44" Type="http://schemas.openxmlformats.org/officeDocument/2006/relationships/hyperlink" Target="https://github.com/BredaUniversityADSAI/2024-25A-FAI1-ADSAI--MohammadaliJaberi244437/blob/main/Practicing%20math%20week%205.png" TargetMode="External"/><Relationship Id="rId52" Type="http://schemas.openxmlformats.org/officeDocument/2006/relationships/hyperlink" Target="https://www.hackerrank.com/challenges/python-arithmetic-operators/problem" TargetMode="External"/><Relationship Id="rId4" Type="http://schemas.openxmlformats.org/officeDocument/2006/relationships/hyperlink" Target="https://github.com/BredaUniversityADSAI/2024-25A-FAI1-ADSAI--MohammadaliJaberi244437/blob/main/Quizzes%20-%20Project%201A%202024-2025%20-%20Breda%20University%20of%20Applied%20Sciences%20Wednesday.pdf" TargetMode="External"/><Relationship Id="rId9" Type="http://schemas.openxmlformats.org/officeDocument/2006/relationships/hyperlink" Target="https://adsai.buas.nl/Study%20Content/DataScience/IntroToVariablesAndDataTransformation.html" TargetMode="External"/><Relationship Id="rId14" Type="http://schemas.openxmlformats.org/officeDocument/2006/relationships/hyperlink" Target="https://github.com/BredaUniversityADSAI/2024-25A-FAI1-ADSAI--MohammadaliJaberi244437/blob/main/Friday%20Quiz%20first%20week.png" TargetMode="External"/><Relationship Id="rId22" Type="http://schemas.openxmlformats.org/officeDocument/2006/relationships/hyperlink" Target="https://github.com/BredaUniversityADSAI/2024-25A-FAI1-ADSAI--MohammadaliJaberi244437/blob/main/Math%20quiz%20week%203.png" TargetMode="External"/><Relationship Id="rId27" Type="http://schemas.openxmlformats.org/officeDocument/2006/relationships/hyperlink" Target="https://github.com/BredaUniversityADSAI/2024-25A-FAI1-ADSAI--MohammadaliJaberi244437/blob/main/6.%20Lists(anjam%20shode).ipynb" TargetMode="External"/><Relationship Id="rId30" Type="http://schemas.openxmlformats.org/officeDocument/2006/relationships/hyperlink" Target="https://github.com/BredaUniversityADSAI/2024-25A-FAI1-ADSAI--MohammadaliJaberi244437/blob/main/Monday%20quiz%20math%20week%204.png" TargetMode="External"/><Relationship Id="rId35" Type="http://schemas.openxmlformats.org/officeDocument/2006/relationships/hyperlink" Target="https://github.com/BredaUniversityADSAI/2024-25A-FAI1-ADSAI--MohammadaliJaberi244437/blob/main/SDG_IndicatorsDashboard_Mohammadali.pbix" TargetMode="External"/><Relationship Id="rId43" Type="http://schemas.openxmlformats.org/officeDocument/2006/relationships/hyperlink" Target="https://github.com/BredaUniversityADSAI/2024-25A-FAI1-ADSAI--MohammadaliJaberi244437/blob/main/certificate(%20Monday%20week%205%20data%20camp).pdf" TargetMode="External"/><Relationship Id="rId48" Type="http://schemas.openxmlformats.org/officeDocument/2006/relationships/hyperlink" Target="https://github.com/BredaUniversityADSAI/2024-25A-FAI1-ADSAI--MohammadaliJaberi244437/blob/main/Tuesday%20khan%20academy.png" TargetMode="External"/><Relationship Id="rId8" Type="http://schemas.openxmlformats.org/officeDocument/2006/relationships/hyperlink" Target="https://www.youtube.com/watch?v=C1QYzoJS-0w&amp;list=PLC6UZnripyEx7jcWGjlsPlf4RVVVz8P-y" TargetMode="External"/><Relationship Id="rId51" Type="http://schemas.openxmlformats.org/officeDocument/2006/relationships/hyperlink" Target="https://www.youtube.com/watch?v=8hly31xKli0&amp;t=3s" TargetMode="External"/><Relationship Id="rId3" Type="http://schemas.openxmlformats.org/officeDocument/2006/relationships/hyperlink" Target="https://adsai.buas.nl/Study%20Content/Artificial%20Intelligence/3.%20History%20of%20AI%20&amp;%20GitHub.html" TargetMode="External"/><Relationship Id="rId12" Type="http://schemas.openxmlformats.org/officeDocument/2006/relationships/hyperlink" Target="https://github.com/BredaUniversityADSAI/2024-25A-FAI1-ADSAI--MohammadaliJaberi244437/blob/main/FIRST%20THURSDAY%20(IF%20AND%20ELSE).png" TargetMode="External"/><Relationship Id="rId17" Type="http://schemas.openxmlformats.org/officeDocument/2006/relationships/hyperlink" Target="https://github.com/BredaUniversityADSAI/2024-25A-FAI1-ADSAI--MohammadaliJaberi244437/blob/main/Summary%20-%20Project%201A%202024-2025%20-%20Breda%20University%20of%20Applied%20Sciences%20Week%202%20Tuesday.pdf" TargetMode="External"/><Relationship Id="rId25" Type="http://schemas.openxmlformats.org/officeDocument/2006/relationships/hyperlink" Target="https://github.com/BredaUniversityADSAI/2024-25A-FAI1-ADSAI--MohammadaliJaberi244437/blob/main/Wednesday%20week%203%20quiz.png" TargetMode="External"/><Relationship Id="rId33" Type="http://schemas.openxmlformats.org/officeDocument/2006/relationships/hyperlink" Target="https://github.com/BredaUniversityADSAI/2024-25A-FAI1-ADSAI--MohammadaliJaberi244437/blob/main/WhatsApp%20Image%202024-10-31%20at%2001.22.31_3ae2f6b8.jpg" TargetMode="External"/><Relationship Id="rId38" Type="http://schemas.openxmlformats.org/officeDocument/2006/relationships/hyperlink" Target="https://github.com/BredaUniversityADSAI/2024-25A-FAI1-ADSAI--MohammadaliJaberi244437/blob/main/7.%20Dictionaries(anjam%20shode).ipynb" TargetMode="External"/><Relationship Id="rId46" Type="http://schemas.openxmlformats.org/officeDocument/2006/relationships/hyperlink" Target="https://github.com/BredaUniversityADSAI/2024-25A-FAI1-ADSAI--MohammadaliJaberi244437/blob/main/week%205%20Friday%20khan%20academy.png" TargetMode="External"/><Relationship Id="rId20" Type="http://schemas.openxmlformats.org/officeDocument/2006/relationships/hyperlink" Target="https://github.com/BredaUniversityADSAI/2024-25A-FAI1-ADSAI--MohammadaliJaberi244437/blob/main/4.%20Loops%20(2)%20anjam%20shode.ipynb" TargetMode="External"/><Relationship Id="rId41" Type="http://schemas.openxmlformats.org/officeDocument/2006/relationships/hyperlink" Target="https://github.com/BredaUniversityADSAI/2024-25A-FAI1-ADSAI--MohammadaliJaberi244437/blob/main/week%205%20math.png" TargetMode="External"/><Relationship Id="rId54" Type="http://schemas.openxmlformats.org/officeDocument/2006/relationships/hyperlink" Target="https://www.hackerrank.com/challenges/python-arithmetic-operators/problem" TargetMode="External"/><Relationship Id="rId1" Type="http://schemas.openxmlformats.org/officeDocument/2006/relationships/hyperlink" Target="https://www.w3schools.com/python/default.asp" TargetMode="External"/><Relationship Id="rId6" Type="http://schemas.openxmlformats.org/officeDocument/2006/relationships/hyperlink" Target="https://github.com/BredaUniversityADSAI/2024-25A-FAI1-ADSAI--MohammadaliJaberi244437/blob/main/Quizzes-%20Project%201A%202024-2025%20-%20Breda%20University%20of%20Applied%20Sciences%20(TUESDAY).pdf" TargetMode="External"/><Relationship Id="rId15" Type="http://schemas.openxmlformats.org/officeDocument/2006/relationships/hyperlink" Target="https://github.com/BredaUniversityADSAI/2024-25A-FAI1-ADSAI--MohammadaliJaberi244437/blob/main/Summary%20-%20Project%201A%202024-2025%20-%20Breda%20University%20of%20Applied%20Sciences%20Fisrt%20math%20quizz.pdf" TargetMode="External"/><Relationship Id="rId23" Type="http://schemas.openxmlformats.org/officeDocument/2006/relationships/hyperlink" Target="https://github.com/BredaUniversityADSAI/2024-25A-FAI1-ADSAI--MohammadaliJaberi244437/blob/main/Monday%20week%203%20quiz.png" TargetMode="External"/><Relationship Id="rId28" Type="http://schemas.openxmlformats.org/officeDocument/2006/relationships/hyperlink" Target="https://github.com/BredaUniversityADSAI/2024-25A-FAI1-ADSAI--MohammadaliJaberi244437/blob/main/week%203%20evidence%20coding%20bat.png" TargetMode="External"/><Relationship Id="rId36" Type="http://schemas.openxmlformats.org/officeDocument/2006/relationships/hyperlink" Target="https://github.com/BredaUniversityADSAI/2024-25A-FAI1-ADSAI--MohammadaliJaberi244437/blob/main/Wednesday/practicing%20excel%20on%20Wednesday%20(Wednesday%20evidence).xlsx" TargetMode="External"/><Relationship Id="rId49" Type="http://schemas.openxmlformats.org/officeDocument/2006/relationships/hyperlink" Target="https://github.com/BredaUniversityADSAI/2024-25A-FAI1-ADSAI--MohammadaliJaberi244437/blob/main/WEDNESDAY%20WEEK%206%20KHAN.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50"/>
  <sheetViews>
    <sheetView tabSelected="1" topLeftCell="D1" workbookViewId="0">
      <pane ySplit="1" topLeftCell="A2" activePane="bottomLeft" state="frozen"/>
      <selection pane="bottomLeft" activeCell="K143" sqref="K143"/>
    </sheetView>
  </sheetViews>
  <sheetFormatPr defaultColWidth="14.44140625" defaultRowHeight="15" customHeight="1" x14ac:dyDescent="0.25"/>
  <cols>
    <col min="1" max="1" width="9.777343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81.33203125" customWidth="1"/>
  </cols>
  <sheetData>
    <row r="1" spans="1:11" ht="24" x14ac:dyDescent="0.25">
      <c r="A1" s="3" t="s">
        <v>0</v>
      </c>
      <c r="B1" s="3" t="s">
        <v>1</v>
      </c>
      <c r="C1" s="3" t="s">
        <v>2</v>
      </c>
      <c r="D1" s="3" t="s">
        <v>3</v>
      </c>
      <c r="E1" s="5" t="s">
        <v>4</v>
      </c>
      <c r="F1" s="5" t="s">
        <v>5</v>
      </c>
      <c r="G1" s="5" t="s">
        <v>6</v>
      </c>
      <c r="H1" s="5" t="s">
        <v>7</v>
      </c>
      <c r="I1" s="5" t="s">
        <v>8</v>
      </c>
      <c r="J1" s="5" t="s">
        <v>9</v>
      </c>
      <c r="K1" s="3" t="s">
        <v>10</v>
      </c>
    </row>
    <row r="2" spans="1:11" ht="18.75" customHeight="1" x14ac:dyDescent="0.25">
      <c r="A2" s="50" t="s">
        <v>11</v>
      </c>
      <c r="B2" s="51"/>
      <c r="C2" s="51"/>
      <c r="D2" s="51"/>
      <c r="E2" s="51"/>
      <c r="F2" s="51"/>
      <c r="G2" s="51"/>
      <c r="H2" s="51"/>
      <c r="I2" s="51"/>
      <c r="J2" s="51"/>
      <c r="K2" s="51"/>
    </row>
    <row r="3" spans="1:11" ht="13.2" x14ac:dyDescent="0.25">
      <c r="A3" s="7" t="s">
        <v>12</v>
      </c>
      <c r="B3" s="52" t="s">
        <v>13</v>
      </c>
      <c r="C3" s="53"/>
      <c r="D3" s="53"/>
      <c r="E3" s="53"/>
      <c r="F3" s="53"/>
      <c r="G3" s="53"/>
      <c r="H3" s="53"/>
      <c r="I3" s="53"/>
      <c r="J3" s="53"/>
      <c r="K3" s="54"/>
    </row>
    <row r="4" spans="1:11" ht="27.75" customHeight="1" x14ac:dyDescent="0.25">
      <c r="A4" s="10" t="s">
        <v>14</v>
      </c>
      <c r="B4" s="52" t="s">
        <v>15</v>
      </c>
      <c r="C4" s="53"/>
      <c r="D4" s="53"/>
      <c r="E4" s="53"/>
      <c r="F4" s="53"/>
      <c r="G4" s="53"/>
      <c r="H4" s="53"/>
      <c r="I4" s="53"/>
      <c r="J4" s="53"/>
      <c r="K4" s="54"/>
    </row>
    <row r="5" spans="1:11" ht="13.2" x14ac:dyDescent="0.25">
      <c r="A5" s="33">
        <v>45538</v>
      </c>
      <c r="B5" s="28" t="s">
        <v>55</v>
      </c>
      <c r="C5" s="12" t="s">
        <v>70</v>
      </c>
      <c r="D5" s="28" t="s">
        <v>71</v>
      </c>
      <c r="E5" s="13" t="s">
        <v>48</v>
      </c>
      <c r="F5" s="13" t="s">
        <v>57</v>
      </c>
      <c r="G5" s="30">
        <v>2</v>
      </c>
      <c r="H5" s="30">
        <v>3.45</v>
      </c>
      <c r="I5" s="30">
        <f t="shared" ref="I5:I23" si="0">H5-G5</f>
        <v>1.4500000000000002</v>
      </c>
      <c r="J5" s="14"/>
      <c r="K5" s="16"/>
    </row>
    <row r="6" spans="1:11" ht="13.2" x14ac:dyDescent="0.25">
      <c r="A6" s="33">
        <v>45537</v>
      </c>
      <c r="B6" s="28" t="s">
        <v>55</v>
      </c>
      <c r="C6" s="12" t="s">
        <v>72</v>
      </c>
      <c r="D6" s="28" t="s">
        <v>73</v>
      </c>
      <c r="E6" s="13" t="s">
        <v>48</v>
      </c>
      <c r="F6" s="13" t="s">
        <v>57</v>
      </c>
      <c r="G6" s="30">
        <v>2</v>
      </c>
      <c r="H6" s="30">
        <v>1.5</v>
      </c>
      <c r="I6" s="30">
        <f t="shared" si="0"/>
        <v>-0.5</v>
      </c>
      <c r="J6" s="14"/>
    </row>
    <row r="7" spans="1:11" ht="13.2" x14ac:dyDescent="0.25">
      <c r="A7" s="33">
        <v>45538</v>
      </c>
      <c r="B7" s="28" t="s">
        <v>55</v>
      </c>
      <c r="C7" s="12" t="s">
        <v>74</v>
      </c>
      <c r="D7" s="28" t="s">
        <v>75</v>
      </c>
      <c r="E7" s="13" t="s">
        <v>64</v>
      </c>
      <c r="F7" s="13" t="s">
        <v>57</v>
      </c>
      <c r="G7" s="30">
        <v>0.5</v>
      </c>
      <c r="H7" s="30">
        <v>0.5</v>
      </c>
      <c r="I7" s="30">
        <f t="shared" si="0"/>
        <v>0</v>
      </c>
      <c r="J7" s="14"/>
      <c r="K7" s="16"/>
    </row>
    <row r="8" spans="1:11" ht="13.2" x14ac:dyDescent="0.25">
      <c r="A8" s="33">
        <v>45538</v>
      </c>
      <c r="B8" s="28" t="s">
        <v>55</v>
      </c>
      <c r="C8" s="12" t="s">
        <v>76</v>
      </c>
      <c r="D8" s="28" t="s">
        <v>77</v>
      </c>
      <c r="E8" s="13" t="s">
        <v>66</v>
      </c>
      <c r="F8" s="13" t="s">
        <v>57</v>
      </c>
      <c r="G8" s="30">
        <v>1</v>
      </c>
      <c r="H8" s="30">
        <v>1.3</v>
      </c>
      <c r="I8" s="30">
        <f t="shared" si="0"/>
        <v>0.30000000000000004</v>
      </c>
      <c r="J8" s="48" t="s">
        <v>92</v>
      </c>
      <c r="K8" s="16"/>
    </row>
    <row r="9" spans="1:11" ht="13.2" x14ac:dyDescent="0.25">
      <c r="A9" s="33">
        <v>45539</v>
      </c>
      <c r="B9" s="28" t="s">
        <v>55</v>
      </c>
      <c r="C9" s="12" t="s">
        <v>84</v>
      </c>
      <c r="D9" s="28" t="s">
        <v>78</v>
      </c>
      <c r="E9" s="13" t="s">
        <v>66</v>
      </c>
      <c r="F9" s="13" t="s">
        <v>57</v>
      </c>
      <c r="G9" s="30">
        <v>1</v>
      </c>
      <c r="H9" s="30">
        <v>2</v>
      </c>
      <c r="I9" s="30">
        <f t="shared" si="0"/>
        <v>1</v>
      </c>
      <c r="J9" s="48" t="s">
        <v>91</v>
      </c>
      <c r="K9" s="16"/>
    </row>
    <row r="10" spans="1:11" ht="13.2" x14ac:dyDescent="0.25">
      <c r="A10" s="33">
        <v>45539</v>
      </c>
      <c r="B10" s="28" t="s">
        <v>55</v>
      </c>
      <c r="C10" s="12" t="s">
        <v>79</v>
      </c>
      <c r="D10" s="28" t="s">
        <v>81</v>
      </c>
      <c r="E10" s="13" t="s">
        <v>66</v>
      </c>
      <c r="F10" s="13" t="s">
        <v>57</v>
      </c>
      <c r="G10" s="30">
        <v>1</v>
      </c>
      <c r="H10" s="30">
        <v>1</v>
      </c>
      <c r="I10" s="30">
        <f t="shared" si="0"/>
        <v>0</v>
      </c>
      <c r="J10" s="48" t="s">
        <v>90</v>
      </c>
      <c r="K10" s="16"/>
    </row>
    <row r="11" spans="1:11" ht="13.2" x14ac:dyDescent="0.25">
      <c r="A11" s="33">
        <v>45539</v>
      </c>
      <c r="B11" s="28" t="s">
        <v>55</v>
      </c>
      <c r="C11" s="12" t="s">
        <v>80</v>
      </c>
      <c r="D11" s="28" t="s">
        <v>82</v>
      </c>
      <c r="E11" s="13" t="s">
        <v>66</v>
      </c>
      <c r="F11" s="13" t="s">
        <v>57</v>
      </c>
      <c r="G11" s="30">
        <v>2</v>
      </c>
      <c r="H11" s="30">
        <v>2</v>
      </c>
      <c r="I11" s="30">
        <f t="shared" si="0"/>
        <v>0</v>
      </c>
      <c r="J11" s="48" t="s">
        <v>89</v>
      </c>
      <c r="K11" s="16"/>
    </row>
    <row r="12" spans="1:11" ht="13.8" customHeight="1" x14ac:dyDescent="0.25">
      <c r="A12" s="33">
        <v>37503</v>
      </c>
      <c r="B12" s="28" t="s">
        <v>55</v>
      </c>
      <c r="C12" s="12" t="s">
        <v>83</v>
      </c>
      <c r="D12" s="28" t="s">
        <v>130</v>
      </c>
      <c r="E12" s="13" t="s">
        <v>66</v>
      </c>
      <c r="F12" s="13" t="s">
        <v>57</v>
      </c>
      <c r="G12" s="30">
        <v>2</v>
      </c>
      <c r="H12" s="30">
        <v>3</v>
      </c>
      <c r="I12" s="30">
        <f t="shared" si="0"/>
        <v>1</v>
      </c>
      <c r="J12" s="48" t="s">
        <v>88</v>
      </c>
      <c r="K12" s="16" t="s">
        <v>131</v>
      </c>
    </row>
    <row r="13" spans="1:11" ht="24" x14ac:dyDescent="0.25">
      <c r="A13" s="33">
        <v>45540</v>
      </c>
      <c r="B13" s="28" t="s">
        <v>55</v>
      </c>
      <c r="C13" s="12" t="s">
        <v>85</v>
      </c>
      <c r="D13" s="28"/>
      <c r="E13" s="13" t="s">
        <v>50</v>
      </c>
      <c r="F13" s="13" t="s">
        <v>46</v>
      </c>
      <c r="G13" s="30">
        <v>2</v>
      </c>
      <c r="H13" s="30">
        <v>3</v>
      </c>
      <c r="I13" s="30">
        <f t="shared" si="0"/>
        <v>1</v>
      </c>
      <c r="J13" s="48" t="s">
        <v>87</v>
      </c>
      <c r="K13" s="16" t="s">
        <v>86</v>
      </c>
    </row>
    <row r="14" spans="1:11" ht="13.2" x14ac:dyDescent="0.25">
      <c r="A14" s="33">
        <v>45540</v>
      </c>
      <c r="B14" s="28" t="s">
        <v>55</v>
      </c>
      <c r="C14" s="12" t="s">
        <v>93</v>
      </c>
      <c r="D14" s="28" t="s">
        <v>133</v>
      </c>
      <c r="E14" s="13" t="s">
        <v>50</v>
      </c>
      <c r="F14" s="13" t="s">
        <v>46</v>
      </c>
      <c r="G14" s="30">
        <v>3</v>
      </c>
      <c r="H14" s="30">
        <v>3</v>
      </c>
      <c r="I14" s="30">
        <f t="shared" si="0"/>
        <v>0</v>
      </c>
      <c r="J14" s="48" t="s">
        <v>134</v>
      </c>
      <c r="K14" s="16"/>
    </row>
    <row r="15" spans="1:11" ht="13.2" x14ac:dyDescent="0.25">
      <c r="A15" s="33">
        <v>45540</v>
      </c>
      <c r="B15" s="28" t="s">
        <v>55</v>
      </c>
      <c r="C15" s="12" t="s">
        <v>93</v>
      </c>
      <c r="D15" s="28" t="s">
        <v>132</v>
      </c>
      <c r="E15" s="13" t="s">
        <v>50</v>
      </c>
      <c r="F15" s="13" t="s">
        <v>46</v>
      </c>
      <c r="G15" s="30">
        <v>3</v>
      </c>
      <c r="H15" s="30">
        <v>3</v>
      </c>
      <c r="I15" s="30">
        <f t="shared" si="0"/>
        <v>0</v>
      </c>
      <c r="J15" s="48" t="s">
        <v>135</v>
      </c>
      <c r="K15" s="16"/>
    </row>
    <row r="16" spans="1:11" ht="13.2" x14ac:dyDescent="0.25">
      <c r="A16" s="33">
        <v>45540</v>
      </c>
      <c r="B16" s="28" t="s">
        <v>55</v>
      </c>
      <c r="C16" s="12" t="s">
        <v>136</v>
      </c>
      <c r="D16" s="28"/>
      <c r="E16" s="13" t="s">
        <v>50</v>
      </c>
      <c r="F16" s="13" t="s">
        <v>46</v>
      </c>
      <c r="G16" s="30">
        <v>0.5</v>
      </c>
      <c r="H16" s="30">
        <v>0.5</v>
      </c>
      <c r="I16" s="30">
        <f t="shared" si="0"/>
        <v>0</v>
      </c>
      <c r="J16" s="48" t="s">
        <v>140</v>
      </c>
      <c r="K16" s="16"/>
    </row>
    <row r="17" spans="1:11" ht="13.2" x14ac:dyDescent="0.25">
      <c r="A17" s="33">
        <v>45540</v>
      </c>
      <c r="B17" s="28" t="s">
        <v>55</v>
      </c>
      <c r="C17" s="12" t="s">
        <v>137</v>
      </c>
      <c r="D17" s="28"/>
      <c r="E17" s="13" t="s">
        <v>50</v>
      </c>
      <c r="F17" s="13" t="s">
        <v>46</v>
      </c>
      <c r="G17" s="30">
        <v>0.5</v>
      </c>
      <c r="H17" s="30">
        <v>1</v>
      </c>
      <c r="I17" s="30">
        <f t="shared" si="0"/>
        <v>0.5</v>
      </c>
      <c r="J17" s="48" t="s">
        <v>139</v>
      </c>
      <c r="K17" s="16" t="s">
        <v>138</v>
      </c>
    </row>
    <row r="18" spans="1:11" ht="13.2" x14ac:dyDescent="0.25">
      <c r="A18" s="33">
        <v>45541</v>
      </c>
      <c r="B18" s="28" t="s">
        <v>55</v>
      </c>
      <c r="C18" s="12" t="s">
        <v>141</v>
      </c>
      <c r="D18" s="28"/>
      <c r="E18" s="13" t="s">
        <v>66</v>
      </c>
      <c r="F18" s="13" t="s">
        <v>57</v>
      </c>
      <c r="G18" s="30">
        <v>1.5</v>
      </c>
      <c r="H18" s="30">
        <v>1.5</v>
      </c>
      <c r="I18" s="30">
        <f t="shared" si="0"/>
        <v>0</v>
      </c>
      <c r="J18" s="48" t="s">
        <v>142</v>
      </c>
      <c r="K18" s="16"/>
    </row>
    <row r="19" spans="1:11" ht="13.2" x14ac:dyDescent="0.25">
      <c r="A19" s="33">
        <v>45541</v>
      </c>
      <c r="B19" s="28" t="s">
        <v>55</v>
      </c>
      <c r="C19" s="12" t="s">
        <v>143</v>
      </c>
      <c r="D19" s="28" t="s">
        <v>144</v>
      </c>
      <c r="E19" s="13" t="s">
        <v>66</v>
      </c>
      <c r="F19" s="13" t="s">
        <v>57</v>
      </c>
      <c r="G19" s="30">
        <v>6</v>
      </c>
      <c r="H19" s="30">
        <v>6</v>
      </c>
      <c r="I19" s="30">
        <f t="shared" si="0"/>
        <v>0</v>
      </c>
      <c r="J19" s="48"/>
      <c r="K19" s="16"/>
    </row>
    <row r="20" spans="1:11" ht="13.2" x14ac:dyDescent="0.25">
      <c r="A20" s="33">
        <v>45541</v>
      </c>
      <c r="B20" s="28" t="s">
        <v>55</v>
      </c>
      <c r="C20" s="12"/>
      <c r="D20" s="28"/>
      <c r="E20" s="13"/>
      <c r="F20" s="13"/>
      <c r="G20" s="30"/>
      <c r="H20" s="30"/>
      <c r="I20" s="30">
        <f t="shared" si="0"/>
        <v>0</v>
      </c>
      <c r="J20" s="48"/>
      <c r="K20" s="16"/>
    </row>
    <row r="21" spans="1:11" ht="13.2" x14ac:dyDescent="0.25">
      <c r="A21" s="33">
        <v>45544</v>
      </c>
      <c r="B21" s="28"/>
      <c r="C21" s="12"/>
      <c r="D21" s="28"/>
      <c r="E21" s="13"/>
      <c r="F21" s="13"/>
      <c r="G21" s="30"/>
      <c r="H21" s="30"/>
      <c r="I21" s="30"/>
      <c r="J21" s="48"/>
      <c r="K21" s="16"/>
    </row>
    <row r="22" spans="1:11" ht="13.2" x14ac:dyDescent="0.25">
      <c r="A22" s="33">
        <v>45540</v>
      </c>
      <c r="B22" s="28" t="s">
        <v>43</v>
      </c>
      <c r="C22" s="12"/>
      <c r="D22" s="28"/>
      <c r="E22" s="13"/>
      <c r="F22" s="13"/>
      <c r="G22" s="30"/>
      <c r="H22" s="30"/>
      <c r="I22" s="30">
        <f>H22-G22</f>
        <v>0</v>
      </c>
      <c r="J22" s="29"/>
      <c r="K22" s="16"/>
    </row>
    <row r="23" spans="1:11" ht="13.2" x14ac:dyDescent="0.25">
      <c r="A23" s="19"/>
      <c r="B23" s="21"/>
      <c r="C23" s="21"/>
      <c r="D23" s="21"/>
      <c r="E23" s="21" t="s">
        <v>19</v>
      </c>
      <c r="F23" s="21"/>
      <c r="G23" s="24">
        <f>SUM(G5:G22)</f>
        <v>28</v>
      </c>
      <c r="H23" s="24">
        <f>SUM(H5:H22)</f>
        <v>32.75</v>
      </c>
      <c r="I23" s="24">
        <f t="shared" si="0"/>
        <v>4.75</v>
      </c>
      <c r="J23" s="25"/>
      <c r="K23" s="21"/>
    </row>
    <row r="24" spans="1:11" ht="18.75" customHeight="1" x14ac:dyDescent="0.25">
      <c r="A24" s="55" t="s">
        <v>20</v>
      </c>
      <c r="B24" s="51"/>
      <c r="C24" s="51"/>
      <c r="D24" s="51"/>
      <c r="E24" s="51"/>
      <c r="F24" s="51"/>
      <c r="G24" s="51"/>
      <c r="H24" s="51"/>
      <c r="I24" s="51"/>
      <c r="J24" s="51"/>
      <c r="K24" s="51"/>
    </row>
    <row r="25" spans="1:11" ht="13.2" x14ac:dyDescent="0.25">
      <c r="A25" s="47" t="s">
        <v>12</v>
      </c>
      <c r="B25" s="56" t="s">
        <v>13</v>
      </c>
      <c r="C25" s="53"/>
      <c r="D25" s="53"/>
      <c r="E25" s="53"/>
      <c r="F25" s="53"/>
      <c r="G25" s="53"/>
      <c r="H25" s="53"/>
      <c r="I25" s="53"/>
      <c r="J25" s="53"/>
      <c r="K25" s="54"/>
    </row>
    <row r="26" spans="1:11" ht="27.75" customHeight="1" x14ac:dyDescent="0.25">
      <c r="A26" s="26" t="s">
        <v>14</v>
      </c>
      <c r="B26" s="56" t="s">
        <v>21</v>
      </c>
      <c r="C26" s="53"/>
      <c r="D26" s="53"/>
      <c r="E26" s="53"/>
      <c r="F26" s="53"/>
      <c r="G26" s="53"/>
      <c r="H26" s="53"/>
      <c r="I26" s="53"/>
      <c r="J26" s="53"/>
      <c r="K26" s="54"/>
    </row>
    <row r="27" spans="1:11" ht="13.2" x14ac:dyDescent="0.25">
      <c r="A27" s="27">
        <v>45542</v>
      </c>
      <c r="B27" s="28" t="s">
        <v>55</v>
      </c>
      <c r="C27" s="12" t="s">
        <v>145</v>
      </c>
      <c r="D27" s="28"/>
      <c r="E27" s="13" t="s">
        <v>66</v>
      </c>
      <c r="F27" s="13" t="s">
        <v>17</v>
      </c>
      <c r="G27" s="30">
        <v>2</v>
      </c>
      <c r="H27" s="30">
        <v>2</v>
      </c>
      <c r="I27" s="30">
        <f t="shared" ref="I27:I45" si="1">H27-G27</f>
        <v>0</v>
      </c>
      <c r="J27" s="48" t="s">
        <v>146</v>
      </c>
      <c r="K27" s="28"/>
    </row>
    <row r="28" spans="1:11" ht="13.2" x14ac:dyDescent="0.25">
      <c r="A28" s="27">
        <v>45542</v>
      </c>
      <c r="B28" s="28" t="s">
        <v>55</v>
      </c>
      <c r="C28" s="12" t="s">
        <v>147</v>
      </c>
      <c r="D28" s="28"/>
      <c r="E28" s="13" t="s">
        <v>66</v>
      </c>
      <c r="F28" s="13" t="s">
        <v>57</v>
      </c>
      <c r="G28" s="30">
        <v>1</v>
      </c>
      <c r="H28" s="30">
        <v>1</v>
      </c>
      <c r="I28" s="30">
        <f t="shared" si="1"/>
        <v>0</v>
      </c>
      <c r="J28" s="48" t="s">
        <v>148</v>
      </c>
      <c r="K28" s="28"/>
    </row>
    <row r="29" spans="1:11" ht="13.2" x14ac:dyDescent="0.25">
      <c r="A29" s="27">
        <v>45542</v>
      </c>
      <c r="B29" s="28" t="s">
        <v>55</v>
      </c>
      <c r="C29" s="12" t="s">
        <v>149</v>
      </c>
      <c r="D29" s="28"/>
      <c r="E29" s="13" t="s">
        <v>66</v>
      </c>
      <c r="F29" s="13" t="s">
        <v>57</v>
      </c>
      <c r="G29" s="30">
        <v>5</v>
      </c>
      <c r="H29" s="30">
        <v>5</v>
      </c>
      <c r="I29" s="30">
        <f t="shared" si="1"/>
        <v>0</v>
      </c>
      <c r="J29" s="29"/>
      <c r="K29" s="28"/>
    </row>
    <row r="30" spans="1:11" ht="13.2" x14ac:dyDescent="0.25">
      <c r="A30" s="27">
        <v>45543</v>
      </c>
      <c r="B30" s="28" t="s">
        <v>55</v>
      </c>
      <c r="C30" s="12" t="s">
        <v>150</v>
      </c>
      <c r="D30" s="28"/>
      <c r="E30" s="13" t="s">
        <v>66</v>
      </c>
      <c r="F30" s="13" t="s">
        <v>57</v>
      </c>
      <c r="G30" s="30">
        <v>1</v>
      </c>
      <c r="H30" s="30">
        <v>1</v>
      </c>
      <c r="I30" s="30">
        <f t="shared" si="1"/>
        <v>0</v>
      </c>
      <c r="J30" s="48" t="s">
        <v>151</v>
      </c>
      <c r="K30" s="28"/>
    </row>
    <row r="31" spans="1:11" ht="13.2" x14ac:dyDescent="0.25">
      <c r="A31" s="27">
        <v>45543</v>
      </c>
      <c r="B31" s="28" t="s">
        <v>55</v>
      </c>
      <c r="C31" s="12" t="s">
        <v>152</v>
      </c>
      <c r="D31" s="28"/>
      <c r="E31" s="13" t="s">
        <v>66</v>
      </c>
      <c r="F31" s="13" t="s">
        <v>57</v>
      </c>
      <c r="G31" s="30">
        <v>6</v>
      </c>
      <c r="H31" s="30">
        <v>6</v>
      </c>
      <c r="I31" s="30">
        <f t="shared" si="1"/>
        <v>0</v>
      </c>
      <c r="J31" s="29"/>
      <c r="K31" s="28"/>
    </row>
    <row r="32" spans="1:11" ht="13.2" x14ac:dyDescent="0.25">
      <c r="A32" s="27">
        <v>45544</v>
      </c>
      <c r="B32" s="28" t="s">
        <v>55</v>
      </c>
      <c r="C32" s="12" t="s">
        <v>79</v>
      </c>
      <c r="D32" s="28"/>
      <c r="E32" s="13" t="s">
        <v>66</v>
      </c>
      <c r="F32" s="13" t="s">
        <v>57</v>
      </c>
      <c r="G32" s="30">
        <v>1</v>
      </c>
      <c r="H32" s="30">
        <v>1</v>
      </c>
      <c r="I32" s="30">
        <f t="shared" si="1"/>
        <v>0</v>
      </c>
      <c r="J32" s="48" t="s">
        <v>154</v>
      </c>
      <c r="K32" s="28"/>
    </row>
    <row r="33" spans="1:11" ht="13.2" x14ac:dyDescent="0.25">
      <c r="A33" s="27">
        <v>45544</v>
      </c>
      <c r="B33" s="28" t="s">
        <v>55</v>
      </c>
      <c r="C33" s="12" t="s">
        <v>153</v>
      </c>
      <c r="D33" s="28"/>
      <c r="E33" s="13" t="s">
        <v>66</v>
      </c>
      <c r="F33" s="13" t="s">
        <v>57</v>
      </c>
      <c r="G33" s="30">
        <v>6</v>
      </c>
      <c r="H33" s="30">
        <v>6</v>
      </c>
      <c r="I33" s="30">
        <f t="shared" si="1"/>
        <v>0</v>
      </c>
      <c r="J33" s="29"/>
      <c r="K33" s="28"/>
    </row>
    <row r="34" spans="1:11" ht="13.2" x14ac:dyDescent="0.25">
      <c r="A34" s="27">
        <v>45545</v>
      </c>
      <c r="B34" s="28" t="s">
        <v>55</v>
      </c>
      <c r="C34" s="12" t="s">
        <v>155</v>
      </c>
      <c r="D34" s="28" t="s">
        <v>159</v>
      </c>
      <c r="E34" s="13" t="s">
        <v>50</v>
      </c>
      <c r="F34" s="13" t="s">
        <v>46</v>
      </c>
      <c r="G34" s="30">
        <v>3</v>
      </c>
      <c r="H34" s="30">
        <v>3</v>
      </c>
      <c r="I34" s="30">
        <f t="shared" si="1"/>
        <v>0</v>
      </c>
      <c r="J34" s="48" t="s">
        <v>158</v>
      </c>
      <c r="K34" s="28"/>
    </row>
    <row r="35" spans="1:11" ht="13.2" x14ac:dyDescent="0.25">
      <c r="A35" s="27">
        <v>45545</v>
      </c>
      <c r="B35" s="28" t="s">
        <v>55</v>
      </c>
      <c r="C35" s="12" t="s">
        <v>156</v>
      </c>
      <c r="D35" s="28" t="s">
        <v>161</v>
      </c>
      <c r="E35" s="13" t="s">
        <v>157</v>
      </c>
      <c r="F35" s="13" t="s">
        <v>46</v>
      </c>
      <c r="G35" s="30">
        <v>3</v>
      </c>
      <c r="H35" s="30">
        <v>3</v>
      </c>
      <c r="I35" s="30">
        <f t="shared" si="1"/>
        <v>0</v>
      </c>
      <c r="J35" s="48" t="s">
        <v>160</v>
      </c>
      <c r="K35" s="28"/>
    </row>
    <row r="36" spans="1:11" ht="13.2" x14ac:dyDescent="0.25">
      <c r="A36" s="27">
        <v>45545</v>
      </c>
      <c r="B36" s="28" t="s">
        <v>55</v>
      </c>
      <c r="C36" s="12" t="s">
        <v>162</v>
      </c>
      <c r="D36" s="28"/>
      <c r="E36" s="13" t="s">
        <v>50</v>
      </c>
      <c r="F36" s="13" t="s">
        <v>46</v>
      </c>
      <c r="G36" s="30">
        <v>1</v>
      </c>
      <c r="H36" s="30">
        <v>1</v>
      </c>
      <c r="I36" s="30">
        <f t="shared" si="1"/>
        <v>0</v>
      </c>
      <c r="J36" s="29"/>
      <c r="K36" s="28"/>
    </row>
    <row r="37" spans="1:11" ht="13.2" x14ac:dyDescent="0.25">
      <c r="A37" s="27">
        <v>45546</v>
      </c>
      <c r="B37" s="28" t="s">
        <v>55</v>
      </c>
      <c r="C37" s="12" t="s">
        <v>141</v>
      </c>
      <c r="D37" s="28"/>
      <c r="E37" s="13" t="s">
        <v>66</v>
      </c>
      <c r="F37" s="13" t="s">
        <v>57</v>
      </c>
      <c r="G37" s="30">
        <v>1</v>
      </c>
      <c r="H37" s="30">
        <v>1</v>
      </c>
      <c r="I37" s="30">
        <f t="shared" si="1"/>
        <v>0</v>
      </c>
      <c r="J37" s="48" t="s">
        <v>163</v>
      </c>
      <c r="K37" s="28"/>
    </row>
    <row r="38" spans="1:11" ht="13.2" x14ac:dyDescent="0.25">
      <c r="A38" s="27">
        <v>45546</v>
      </c>
      <c r="B38" s="28" t="s">
        <v>55</v>
      </c>
      <c r="C38" s="12" t="s">
        <v>164</v>
      </c>
      <c r="D38" s="28" t="s">
        <v>165</v>
      </c>
      <c r="E38" s="13" t="s">
        <v>65</v>
      </c>
      <c r="F38" s="13" t="s">
        <v>57</v>
      </c>
      <c r="G38" s="30">
        <v>2</v>
      </c>
      <c r="H38" s="30">
        <v>2</v>
      </c>
      <c r="I38" s="30">
        <f t="shared" si="1"/>
        <v>0</v>
      </c>
      <c r="J38" s="29"/>
      <c r="K38" s="28"/>
    </row>
    <row r="39" spans="1:11" ht="13.2" x14ac:dyDescent="0.25">
      <c r="A39" s="27"/>
      <c r="B39" s="28"/>
      <c r="C39" s="12" t="s">
        <v>16</v>
      </c>
      <c r="D39" s="28"/>
      <c r="E39" s="13"/>
      <c r="F39" s="13"/>
      <c r="G39" s="30"/>
      <c r="H39" s="30"/>
      <c r="I39" s="30">
        <f t="shared" si="1"/>
        <v>0</v>
      </c>
      <c r="J39" s="29"/>
      <c r="K39" s="28"/>
    </row>
    <row r="40" spans="1:11" ht="13.2" x14ac:dyDescent="0.25">
      <c r="A40" s="27"/>
      <c r="B40" s="28"/>
      <c r="C40" s="12" t="s">
        <v>16</v>
      </c>
      <c r="D40" s="28"/>
      <c r="E40" s="13"/>
      <c r="F40" s="13"/>
      <c r="G40" s="30"/>
      <c r="H40" s="30"/>
      <c r="I40" s="30">
        <f t="shared" si="1"/>
        <v>0</v>
      </c>
      <c r="J40" s="29"/>
      <c r="K40" s="28"/>
    </row>
    <row r="41" spans="1:11" ht="13.2" x14ac:dyDescent="0.25">
      <c r="A41" s="27"/>
      <c r="B41" s="28"/>
      <c r="C41" s="12" t="s">
        <v>16</v>
      </c>
      <c r="D41" s="28"/>
      <c r="E41" s="13"/>
      <c r="F41" s="13"/>
      <c r="G41" s="30"/>
      <c r="H41" s="30"/>
      <c r="I41" s="30">
        <f t="shared" si="1"/>
        <v>0</v>
      </c>
      <c r="J41" s="29"/>
      <c r="K41" s="28"/>
    </row>
    <row r="42" spans="1:11" ht="13.2" x14ac:dyDescent="0.25">
      <c r="A42" s="27"/>
      <c r="B42" s="28"/>
      <c r="C42" s="12" t="s">
        <v>16</v>
      </c>
      <c r="D42" s="28"/>
      <c r="E42" s="13"/>
      <c r="F42" s="13"/>
      <c r="G42" s="30"/>
      <c r="H42" s="30"/>
      <c r="I42" s="30">
        <f t="shared" si="1"/>
        <v>0</v>
      </c>
      <c r="J42" s="29"/>
      <c r="K42" s="28"/>
    </row>
    <row r="43" spans="1:11" ht="13.2" x14ac:dyDescent="0.25">
      <c r="A43" s="27"/>
      <c r="B43" s="28"/>
      <c r="C43" s="12" t="s">
        <v>16</v>
      </c>
      <c r="D43" s="28"/>
      <c r="E43" s="13"/>
      <c r="F43" s="13"/>
      <c r="G43" s="30"/>
      <c r="H43" s="30"/>
      <c r="I43" s="30">
        <f t="shared" si="1"/>
        <v>0</v>
      </c>
      <c r="J43" s="29"/>
      <c r="K43" s="28"/>
    </row>
    <row r="44" spans="1:11" ht="13.2" x14ac:dyDescent="0.25">
      <c r="A44" s="27"/>
      <c r="B44" s="28"/>
      <c r="C44" s="12" t="s">
        <v>16</v>
      </c>
      <c r="D44" s="28"/>
      <c r="E44" s="13"/>
      <c r="F44" s="13"/>
      <c r="G44" s="30"/>
      <c r="H44" s="30"/>
      <c r="I44" s="30">
        <f t="shared" si="1"/>
        <v>0</v>
      </c>
      <c r="J44" s="29"/>
      <c r="K44" s="28"/>
    </row>
    <row r="45" spans="1:11" ht="13.2" x14ac:dyDescent="0.25">
      <c r="A45" s="19"/>
      <c r="B45" s="21"/>
      <c r="C45" s="21"/>
      <c r="D45" s="21"/>
      <c r="E45" s="21" t="s">
        <v>19</v>
      </c>
      <c r="F45" s="21"/>
      <c r="G45" s="24">
        <f>SUM(G25:G44)</f>
        <v>32</v>
      </c>
      <c r="H45" s="24">
        <f>SUM(H25:H44)</f>
        <v>32</v>
      </c>
      <c r="I45" s="24">
        <f t="shared" si="1"/>
        <v>0</v>
      </c>
      <c r="J45" s="25"/>
      <c r="K45" s="21"/>
    </row>
    <row r="46" spans="1:11" ht="18.75" customHeight="1" x14ac:dyDescent="0.25">
      <c r="A46" s="57" t="s">
        <v>22</v>
      </c>
      <c r="B46" s="53"/>
      <c r="C46" s="53"/>
      <c r="D46" s="53"/>
      <c r="E46" s="53"/>
      <c r="F46" s="53"/>
      <c r="G46" s="53"/>
      <c r="H46" s="53"/>
      <c r="I46" s="53"/>
      <c r="J46" s="53"/>
      <c r="K46" s="54"/>
    </row>
    <row r="47" spans="1:11" ht="13.2" x14ac:dyDescent="0.25">
      <c r="A47" s="31" t="s">
        <v>12</v>
      </c>
      <c r="B47" s="58" t="s">
        <v>13</v>
      </c>
      <c r="C47" s="53"/>
      <c r="D47" s="53"/>
      <c r="E47" s="53"/>
      <c r="F47" s="53"/>
      <c r="G47" s="53"/>
      <c r="H47" s="53"/>
      <c r="I47" s="53"/>
      <c r="J47" s="53"/>
      <c r="K47" s="54"/>
    </row>
    <row r="48" spans="1:11" ht="27.75" customHeight="1" x14ac:dyDescent="0.25">
      <c r="A48" s="32" t="s">
        <v>14</v>
      </c>
      <c r="B48" s="58" t="s">
        <v>15</v>
      </c>
      <c r="C48" s="53"/>
      <c r="D48" s="53"/>
      <c r="E48" s="53"/>
      <c r="F48" s="53"/>
      <c r="G48" s="53"/>
      <c r="H48" s="53"/>
      <c r="I48" s="53"/>
      <c r="J48" s="53"/>
      <c r="K48" s="54"/>
    </row>
    <row r="49" spans="1:11" ht="13.2" x14ac:dyDescent="0.25">
      <c r="A49" s="33">
        <v>45549</v>
      </c>
      <c r="B49" s="28" t="s">
        <v>55</v>
      </c>
      <c r="C49" s="12" t="s">
        <v>102</v>
      </c>
      <c r="D49" s="28" t="s">
        <v>129</v>
      </c>
      <c r="E49" s="13" t="s">
        <v>66</v>
      </c>
      <c r="F49" s="13" t="s">
        <v>17</v>
      </c>
      <c r="G49" s="30">
        <v>2</v>
      </c>
      <c r="H49" s="30">
        <v>2</v>
      </c>
      <c r="I49" s="30">
        <f t="shared" ref="I49:I63" si="2">H49-G49</f>
        <v>0</v>
      </c>
      <c r="J49" s="48" t="s">
        <v>166</v>
      </c>
      <c r="K49" s="28"/>
    </row>
    <row r="50" spans="1:11" ht="13.2" x14ac:dyDescent="0.25">
      <c r="A50" s="33">
        <v>45549</v>
      </c>
      <c r="B50" s="28" t="s">
        <v>55</v>
      </c>
      <c r="C50" s="12" t="s">
        <v>167</v>
      </c>
      <c r="D50" s="28"/>
      <c r="E50" s="13" t="s">
        <v>66</v>
      </c>
      <c r="F50" s="13" t="s">
        <v>57</v>
      </c>
      <c r="G50" s="30">
        <v>3</v>
      </c>
      <c r="H50" s="30">
        <v>3</v>
      </c>
      <c r="I50" s="30">
        <f t="shared" si="2"/>
        <v>0</v>
      </c>
      <c r="J50" s="29"/>
      <c r="K50" s="28"/>
    </row>
    <row r="51" spans="1:11" ht="13.2" x14ac:dyDescent="0.25">
      <c r="A51" s="33">
        <v>45549</v>
      </c>
      <c r="B51" s="28" t="s">
        <v>55</v>
      </c>
      <c r="C51" s="12" t="s">
        <v>168</v>
      </c>
      <c r="D51" s="28" t="s">
        <v>169</v>
      </c>
      <c r="E51" s="13" t="s">
        <v>66</v>
      </c>
      <c r="F51" s="13" t="s">
        <v>57</v>
      </c>
      <c r="G51" s="30">
        <v>2</v>
      </c>
      <c r="H51" s="30">
        <v>3</v>
      </c>
      <c r="I51" s="30">
        <f t="shared" si="2"/>
        <v>1</v>
      </c>
      <c r="J51" s="29"/>
      <c r="K51" s="28" t="s">
        <v>170</v>
      </c>
    </row>
    <row r="52" spans="1:11" ht="13.2" x14ac:dyDescent="0.25">
      <c r="A52" s="33">
        <v>45549</v>
      </c>
      <c r="B52" s="28" t="s">
        <v>55</v>
      </c>
      <c r="C52" s="12" t="s">
        <v>171</v>
      </c>
      <c r="D52" s="28"/>
      <c r="E52" s="13" t="s">
        <v>66</v>
      </c>
      <c r="F52" s="13" t="s">
        <v>57</v>
      </c>
      <c r="G52" s="30">
        <v>1</v>
      </c>
      <c r="H52" s="30">
        <v>1</v>
      </c>
      <c r="I52" s="30">
        <f t="shared" si="2"/>
        <v>0</v>
      </c>
      <c r="J52" s="48" t="s">
        <v>172</v>
      </c>
      <c r="K52" s="28"/>
    </row>
    <row r="53" spans="1:11" ht="13.2" x14ac:dyDescent="0.25">
      <c r="A53" s="33">
        <v>45550</v>
      </c>
      <c r="B53" s="28" t="s">
        <v>55</v>
      </c>
      <c r="C53" s="12" t="s">
        <v>173</v>
      </c>
      <c r="D53" s="28" t="s">
        <v>174</v>
      </c>
      <c r="E53" s="13" t="s">
        <v>66</v>
      </c>
      <c r="F53" s="13" t="s">
        <v>57</v>
      </c>
      <c r="G53" s="30">
        <v>4</v>
      </c>
      <c r="H53" s="30">
        <v>4</v>
      </c>
      <c r="I53" s="30">
        <f t="shared" si="2"/>
        <v>0</v>
      </c>
      <c r="J53" s="29"/>
      <c r="K53" s="28"/>
    </row>
    <row r="54" spans="1:11" ht="13.2" x14ac:dyDescent="0.25">
      <c r="A54" s="33">
        <v>45550</v>
      </c>
      <c r="B54" s="28" t="s">
        <v>55</v>
      </c>
      <c r="C54" s="12" t="s">
        <v>175</v>
      </c>
      <c r="D54" s="28"/>
      <c r="E54" s="13" t="s">
        <v>66</v>
      </c>
      <c r="F54" s="13" t="s">
        <v>57</v>
      </c>
      <c r="G54" s="30">
        <v>1</v>
      </c>
      <c r="H54" s="30">
        <v>1</v>
      </c>
      <c r="I54" s="30">
        <f t="shared" si="2"/>
        <v>0</v>
      </c>
      <c r="J54" s="48" t="s">
        <v>176</v>
      </c>
      <c r="K54" s="28"/>
    </row>
    <row r="55" spans="1:11" ht="13.2" x14ac:dyDescent="0.25">
      <c r="A55" s="33">
        <v>45551</v>
      </c>
      <c r="B55" s="28" t="s">
        <v>55</v>
      </c>
      <c r="C55" s="12" t="s">
        <v>177</v>
      </c>
      <c r="D55" s="28" t="s">
        <v>169</v>
      </c>
      <c r="E55" s="13" t="s">
        <v>66</v>
      </c>
      <c r="F55" s="13" t="s">
        <v>57</v>
      </c>
      <c r="G55" s="30">
        <v>3</v>
      </c>
      <c r="H55" s="30">
        <v>3</v>
      </c>
      <c r="I55" s="30">
        <f t="shared" si="2"/>
        <v>0</v>
      </c>
      <c r="J55" s="29"/>
      <c r="K55" s="28"/>
    </row>
    <row r="56" spans="1:11" ht="13.2" x14ac:dyDescent="0.25">
      <c r="A56" s="33">
        <v>45551</v>
      </c>
      <c r="B56" s="28" t="s">
        <v>55</v>
      </c>
      <c r="C56" s="12" t="s">
        <v>79</v>
      </c>
      <c r="D56" s="28"/>
      <c r="E56" s="13" t="s">
        <v>66</v>
      </c>
      <c r="F56" s="13" t="s">
        <v>57</v>
      </c>
      <c r="G56" s="30">
        <v>1</v>
      </c>
      <c r="H56" s="30">
        <v>1</v>
      </c>
      <c r="I56" s="30">
        <f t="shared" si="2"/>
        <v>0</v>
      </c>
      <c r="J56" s="48" t="s">
        <v>178</v>
      </c>
      <c r="K56" s="28"/>
    </row>
    <row r="57" spans="1:11" ht="13.2" x14ac:dyDescent="0.25">
      <c r="A57" s="33">
        <v>45552</v>
      </c>
      <c r="B57" s="28" t="s">
        <v>55</v>
      </c>
      <c r="C57" s="12" t="s">
        <v>179</v>
      </c>
      <c r="D57" s="28" t="s">
        <v>181</v>
      </c>
      <c r="E57" s="13" t="s">
        <v>50</v>
      </c>
      <c r="F57" s="13" t="s">
        <v>46</v>
      </c>
      <c r="G57" s="30">
        <v>3</v>
      </c>
      <c r="H57" s="30">
        <v>3</v>
      </c>
      <c r="I57" s="30">
        <f t="shared" si="2"/>
        <v>0</v>
      </c>
      <c r="J57" s="48" t="s">
        <v>180</v>
      </c>
      <c r="K57" s="28"/>
    </row>
    <row r="58" spans="1:11" ht="13.2" x14ac:dyDescent="0.25">
      <c r="A58" s="33">
        <v>45552</v>
      </c>
      <c r="B58" s="28" t="s">
        <v>55</v>
      </c>
      <c r="C58" s="12" t="s">
        <v>179</v>
      </c>
      <c r="D58" s="28" t="s">
        <v>182</v>
      </c>
      <c r="E58" s="13" t="s">
        <v>50</v>
      </c>
      <c r="F58" s="13" t="s">
        <v>46</v>
      </c>
      <c r="G58" s="30">
        <v>3</v>
      </c>
      <c r="H58" s="30">
        <v>3</v>
      </c>
      <c r="I58" s="30">
        <f t="shared" si="2"/>
        <v>0</v>
      </c>
      <c r="J58" s="48" t="s">
        <v>184</v>
      </c>
      <c r="K58" s="28"/>
    </row>
    <row r="59" spans="1:11" ht="13.2" x14ac:dyDescent="0.25">
      <c r="A59" s="33">
        <v>45552</v>
      </c>
      <c r="B59" s="28" t="s">
        <v>55</v>
      </c>
      <c r="C59" s="12" t="s">
        <v>179</v>
      </c>
      <c r="D59" s="28" t="s">
        <v>183</v>
      </c>
      <c r="E59" s="13" t="s">
        <v>50</v>
      </c>
      <c r="F59" s="13" t="s">
        <v>46</v>
      </c>
      <c r="G59" s="30">
        <v>2</v>
      </c>
      <c r="H59" s="30">
        <v>2</v>
      </c>
      <c r="I59" s="30">
        <f t="shared" si="2"/>
        <v>0</v>
      </c>
      <c r="J59" s="48" t="s">
        <v>185</v>
      </c>
      <c r="K59" s="28"/>
    </row>
    <row r="60" spans="1:11" ht="13.2" x14ac:dyDescent="0.25">
      <c r="A60" s="33">
        <v>45552</v>
      </c>
      <c r="B60" s="28" t="s">
        <v>55</v>
      </c>
      <c r="C60" s="12" t="s">
        <v>168</v>
      </c>
      <c r="D60" s="28" t="s">
        <v>186</v>
      </c>
      <c r="E60" s="13" t="s">
        <v>66</v>
      </c>
      <c r="F60" s="13" t="s">
        <v>57</v>
      </c>
      <c r="G60" s="30">
        <v>2</v>
      </c>
      <c r="H60" s="30">
        <v>2</v>
      </c>
      <c r="I60" s="30">
        <f t="shared" si="2"/>
        <v>0</v>
      </c>
      <c r="J60" s="48"/>
      <c r="K60" s="28"/>
    </row>
    <row r="61" spans="1:11" ht="13.2" x14ac:dyDescent="0.25">
      <c r="A61" s="33">
        <v>45552</v>
      </c>
      <c r="B61" s="28" t="s">
        <v>55</v>
      </c>
      <c r="C61" s="12" t="s">
        <v>164</v>
      </c>
      <c r="D61" s="28" t="s">
        <v>187</v>
      </c>
      <c r="E61" s="13" t="s">
        <v>66</v>
      </c>
      <c r="F61" s="13" t="s">
        <v>57</v>
      </c>
      <c r="G61" s="30">
        <v>0.5</v>
      </c>
      <c r="H61" s="30">
        <v>0.5</v>
      </c>
      <c r="I61" s="30">
        <f t="shared" si="2"/>
        <v>0</v>
      </c>
      <c r="J61" s="48"/>
      <c r="K61" s="28"/>
    </row>
    <row r="62" spans="1:11" ht="13.2" x14ac:dyDescent="0.25">
      <c r="A62" s="33">
        <v>45553</v>
      </c>
      <c r="B62" s="28" t="s">
        <v>55</v>
      </c>
      <c r="C62" s="12" t="s">
        <v>188</v>
      </c>
      <c r="D62" s="28" t="s">
        <v>189</v>
      </c>
      <c r="E62" s="13" t="s">
        <v>63</v>
      </c>
      <c r="F62" s="13" t="s">
        <v>57</v>
      </c>
      <c r="G62" s="30"/>
      <c r="H62" s="30"/>
      <c r="I62" s="30">
        <f t="shared" si="2"/>
        <v>0</v>
      </c>
      <c r="J62" s="48" t="s">
        <v>190</v>
      </c>
      <c r="K62" s="28"/>
    </row>
    <row r="63" spans="1:11" ht="13.2" x14ac:dyDescent="0.25">
      <c r="A63" s="19"/>
      <c r="B63" s="21"/>
      <c r="C63" s="21"/>
      <c r="D63" s="21"/>
      <c r="E63" s="21" t="s">
        <v>19</v>
      </c>
      <c r="F63" s="21"/>
      <c r="G63" s="24">
        <f>SUM(G49:G62)</f>
        <v>27.5</v>
      </c>
      <c r="H63" s="24">
        <f>SUM(H49:H62)</f>
        <v>28.5</v>
      </c>
      <c r="I63" s="24">
        <f t="shared" si="2"/>
        <v>1</v>
      </c>
      <c r="J63" s="25"/>
      <c r="K63" s="21"/>
    </row>
    <row r="64" spans="1:11" ht="18.75" customHeight="1" x14ac:dyDescent="0.25">
      <c r="A64" s="59" t="s">
        <v>23</v>
      </c>
      <c r="B64" s="53"/>
      <c r="C64" s="53"/>
      <c r="D64" s="53"/>
      <c r="E64" s="53"/>
      <c r="F64" s="53"/>
      <c r="G64" s="53"/>
      <c r="H64" s="53"/>
      <c r="I64" s="53"/>
      <c r="J64" s="53"/>
      <c r="K64" s="54"/>
    </row>
    <row r="65" spans="1:11" ht="13.2" x14ac:dyDescent="0.25">
      <c r="A65" s="34" t="s">
        <v>12</v>
      </c>
      <c r="B65" s="60" t="s">
        <v>13</v>
      </c>
      <c r="C65" s="53"/>
      <c r="D65" s="53"/>
      <c r="E65" s="53"/>
      <c r="F65" s="53"/>
      <c r="G65" s="53"/>
      <c r="H65" s="53"/>
      <c r="I65" s="53"/>
      <c r="J65" s="53"/>
      <c r="K65" s="54"/>
    </row>
    <row r="66" spans="1:11" ht="27.75" customHeight="1" x14ac:dyDescent="0.25">
      <c r="A66" s="35" t="s">
        <v>14</v>
      </c>
      <c r="B66" s="60" t="s">
        <v>15</v>
      </c>
      <c r="C66" s="53"/>
      <c r="D66" s="53"/>
      <c r="E66" s="53"/>
      <c r="F66" s="53"/>
      <c r="G66" s="53"/>
      <c r="H66" s="53"/>
      <c r="I66" s="53"/>
      <c r="J66" s="53"/>
      <c r="K66" s="54"/>
    </row>
    <row r="67" spans="1:11" ht="13.2" x14ac:dyDescent="0.25">
      <c r="A67" s="33">
        <v>45558</v>
      </c>
      <c r="B67" s="28" t="s">
        <v>55</v>
      </c>
      <c r="C67" s="12" t="s">
        <v>94</v>
      </c>
      <c r="D67" s="28" t="s">
        <v>95</v>
      </c>
      <c r="E67" s="13" t="s">
        <v>66</v>
      </c>
      <c r="F67" s="13" t="s">
        <v>57</v>
      </c>
      <c r="G67" s="30">
        <v>1</v>
      </c>
      <c r="H67" s="30">
        <v>1</v>
      </c>
      <c r="I67" s="30">
        <f t="shared" ref="I67:I89" si="3">H67-G67</f>
        <v>0</v>
      </c>
      <c r="J67" s="48" t="s">
        <v>192</v>
      </c>
      <c r="K67" s="28"/>
    </row>
    <row r="68" spans="1:11" ht="13.2" x14ac:dyDescent="0.25">
      <c r="A68" s="33">
        <v>45558</v>
      </c>
      <c r="B68" s="28" t="s">
        <v>55</v>
      </c>
      <c r="C68" s="12" t="s">
        <v>96</v>
      </c>
      <c r="D68" s="28" t="s">
        <v>97</v>
      </c>
      <c r="E68" s="13" t="s">
        <v>59</v>
      </c>
      <c r="F68" s="13" t="s">
        <v>18</v>
      </c>
      <c r="G68" s="30">
        <v>3</v>
      </c>
      <c r="H68" s="30">
        <v>4</v>
      </c>
      <c r="I68" s="30">
        <f t="shared" si="3"/>
        <v>1</v>
      </c>
      <c r="J68" s="49" t="s">
        <v>193</v>
      </c>
      <c r="K68" s="28" t="s">
        <v>194</v>
      </c>
    </row>
    <row r="69" spans="1:11" ht="13.2" x14ac:dyDescent="0.25">
      <c r="A69" s="33">
        <v>45558</v>
      </c>
      <c r="B69" s="28" t="s">
        <v>55</v>
      </c>
      <c r="C69" s="12" t="s">
        <v>98</v>
      </c>
      <c r="D69" s="28" t="s">
        <v>99</v>
      </c>
      <c r="E69" s="13" t="s">
        <v>66</v>
      </c>
      <c r="F69" s="13" t="s">
        <v>18</v>
      </c>
      <c r="G69" s="30">
        <v>0.2</v>
      </c>
      <c r="H69" s="30">
        <v>0.2</v>
      </c>
      <c r="I69" s="30">
        <f t="shared" si="3"/>
        <v>0</v>
      </c>
      <c r="J69" s="49" t="s">
        <v>123</v>
      </c>
      <c r="K69" s="28"/>
    </row>
    <row r="70" spans="1:11" ht="13.2" x14ac:dyDescent="0.25">
      <c r="A70" s="33">
        <v>45558</v>
      </c>
      <c r="B70" s="28" t="s">
        <v>55</v>
      </c>
      <c r="C70" s="12" t="s">
        <v>100</v>
      </c>
      <c r="D70" s="28" t="s">
        <v>101</v>
      </c>
      <c r="E70" s="13" t="s">
        <v>66</v>
      </c>
      <c r="F70" s="13" t="s">
        <v>57</v>
      </c>
      <c r="G70" s="30">
        <v>1</v>
      </c>
      <c r="H70" s="30">
        <v>1</v>
      </c>
      <c r="I70" s="30">
        <f t="shared" si="3"/>
        <v>0</v>
      </c>
      <c r="J70" s="48" t="s">
        <v>124</v>
      </c>
      <c r="K70" s="28"/>
    </row>
    <row r="71" spans="1:11" ht="13.2" x14ac:dyDescent="0.25">
      <c r="A71" s="33">
        <v>45558</v>
      </c>
      <c r="B71" s="28" t="s">
        <v>55</v>
      </c>
      <c r="C71" s="12" t="s">
        <v>102</v>
      </c>
      <c r="D71" s="28" t="s">
        <v>103</v>
      </c>
      <c r="E71" s="13" t="s">
        <v>66</v>
      </c>
      <c r="F71" s="13" t="s">
        <v>17</v>
      </c>
      <c r="G71" s="30">
        <v>1</v>
      </c>
      <c r="H71" s="30">
        <v>1.5</v>
      </c>
      <c r="I71" s="30">
        <f t="shared" si="3"/>
        <v>0.5</v>
      </c>
      <c r="J71" s="48" t="s">
        <v>191</v>
      </c>
      <c r="K71" s="28"/>
    </row>
    <row r="72" spans="1:11" ht="13.2" x14ac:dyDescent="0.25">
      <c r="A72" s="33">
        <v>45559</v>
      </c>
      <c r="B72" s="28" t="s">
        <v>55</v>
      </c>
      <c r="C72" s="12" t="s">
        <v>104</v>
      </c>
      <c r="D72" s="28" t="s">
        <v>105</v>
      </c>
      <c r="E72" s="13" t="s">
        <v>59</v>
      </c>
      <c r="F72" s="13" t="s">
        <v>57</v>
      </c>
      <c r="G72" s="30">
        <v>2</v>
      </c>
      <c r="H72" s="30">
        <v>2</v>
      </c>
      <c r="I72" s="30">
        <f t="shared" si="3"/>
        <v>0</v>
      </c>
      <c r="J72" s="29"/>
      <c r="K72" s="28"/>
    </row>
    <row r="73" spans="1:11" ht="13.2" x14ac:dyDescent="0.25">
      <c r="A73" s="33">
        <v>45559</v>
      </c>
      <c r="B73" s="28" t="s">
        <v>55</v>
      </c>
      <c r="C73" s="12" t="s">
        <v>106</v>
      </c>
      <c r="D73" s="28" t="s">
        <v>107</v>
      </c>
      <c r="E73" s="13" t="s">
        <v>59</v>
      </c>
      <c r="F73" s="13" t="s">
        <v>57</v>
      </c>
      <c r="G73" s="30">
        <v>1</v>
      </c>
      <c r="H73" s="30">
        <v>1</v>
      </c>
      <c r="I73" s="30">
        <f t="shared" si="3"/>
        <v>0</v>
      </c>
      <c r="J73" s="48" t="s">
        <v>195</v>
      </c>
      <c r="K73" s="28"/>
    </row>
    <row r="74" spans="1:11" ht="13.2" x14ac:dyDescent="0.25">
      <c r="A74" s="33">
        <v>45559</v>
      </c>
      <c r="B74" s="28" t="s">
        <v>55</v>
      </c>
      <c r="C74" s="12" t="s">
        <v>108</v>
      </c>
      <c r="D74" s="28" t="s">
        <v>109</v>
      </c>
      <c r="E74" s="13" t="s">
        <v>59</v>
      </c>
      <c r="F74" s="13" t="s">
        <v>57</v>
      </c>
      <c r="G74" s="30">
        <v>1</v>
      </c>
      <c r="H74" s="30">
        <v>1</v>
      </c>
      <c r="I74" s="30">
        <f t="shared" si="3"/>
        <v>0</v>
      </c>
      <c r="J74" s="48" t="s">
        <v>196</v>
      </c>
      <c r="K74" s="28"/>
    </row>
    <row r="75" spans="1:11" ht="13.2" customHeight="1" x14ac:dyDescent="0.25">
      <c r="A75" s="33">
        <v>45559</v>
      </c>
      <c r="B75" s="28" t="s">
        <v>55</v>
      </c>
      <c r="C75" s="12" t="s">
        <v>110</v>
      </c>
      <c r="D75" s="28" t="s">
        <v>111</v>
      </c>
      <c r="E75" s="13"/>
      <c r="F75" s="13" t="s">
        <v>18</v>
      </c>
      <c r="G75" s="30">
        <v>1</v>
      </c>
      <c r="H75" s="30">
        <v>1</v>
      </c>
      <c r="I75" s="30">
        <v>1</v>
      </c>
      <c r="J75" s="48" t="s">
        <v>203</v>
      </c>
      <c r="K75" s="28"/>
    </row>
    <row r="76" spans="1:11" ht="13.2" customHeight="1" x14ac:dyDescent="0.25">
      <c r="A76" s="33">
        <v>45559</v>
      </c>
      <c r="B76" s="28" t="s">
        <v>55</v>
      </c>
      <c r="C76" s="12" t="s">
        <v>112</v>
      </c>
      <c r="D76" s="28" t="s">
        <v>125</v>
      </c>
      <c r="E76" s="13" t="s">
        <v>66</v>
      </c>
      <c r="F76" s="13" t="s">
        <v>57</v>
      </c>
      <c r="G76" s="30">
        <v>2</v>
      </c>
      <c r="H76" s="30">
        <v>2</v>
      </c>
      <c r="I76" s="30">
        <f t="shared" si="3"/>
        <v>0</v>
      </c>
      <c r="J76" s="29"/>
      <c r="K76" s="28"/>
    </row>
    <row r="77" spans="1:11" ht="13.2" customHeight="1" x14ac:dyDescent="0.25">
      <c r="A77" s="33">
        <v>45560</v>
      </c>
      <c r="B77" s="28" t="s">
        <v>55</v>
      </c>
      <c r="C77" s="12" t="s">
        <v>113</v>
      </c>
      <c r="D77" s="28" t="s">
        <v>114</v>
      </c>
      <c r="E77" s="13" t="s">
        <v>66</v>
      </c>
      <c r="F77" s="13" t="s">
        <v>18</v>
      </c>
      <c r="G77" s="30">
        <v>4</v>
      </c>
      <c r="H77" s="30">
        <v>5</v>
      </c>
      <c r="I77" s="30">
        <f t="shared" si="3"/>
        <v>1</v>
      </c>
      <c r="J77" s="29"/>
      <c r="K77" s="28"/>
    </row>
    <row r="78" spans="1:11" ht="13.2" customHeight="1" x14ac:dyDescent="0.25">
      <c r="A78" s="33">
        <v>45560</v>
      </c>
      <c r="B78" s="28" t="s">
        <v>55</v>
      </c>
      <c r="C78" s="12" t="s">
        <v>115</v>
      </c>
      <c r="D78" s="28" t="s">
        <v>116</v>
      </c>
      <c r="E78" s="13" t="s">
        <v>66</v>
      </c>
      <c r="F78" s="13" t="s">
        <v>57</v>
      </c>
      <c r="G78" s="30">
        <v>3</v>
      </c>
      <c r="H78" s="30">
        <v>3</v>
      </c>
      <c r="I78" s="30">
        <f t="shared" si="3"/>
        <v>0</v>
      </c>
      <c r="J78" s="48" t="s">
        <v>126</v>
      </c>
      <c r="K78" s="28"/>
    </row>
    <row r="79" spans="1:11" ht="13.2" customHeight="1" x14ac:dyDescent="0.25">
      <c r="A79" s="33">
        <v>45560</v>
      </c>
      <c r="B79" s="28" t="s">
        <v>55</v>
      </c>
      <c r="C79" s="12" t="s">
        <v>117</v>
      </c>
      <c r="D79" s="28" t="s">
        <v>118</v>
      </c>
      <c r="E79" s="13" t="s">
        <v>66</v>
      </c>
      <c r="F79" s="13" t="s">
        <v>57</v>
      </c>
      <c r="G79" s="30">
        <v>1.5</v>
      </c>
      <c r="H79" s="30">
        <v>1.5</v>
      </c>
      <c r="I79" s="30">
        <f t="shared" si="3"/>
        <v>0</v>
      </c>
      <c r="J79" s="48" t="s">
        <v>197</v>
      </c>
      <c r="K79" s="28"/>
    </row>
    <row r="80" spans="1:11" ht="13.2" customHeight="1" x14ac:dyDescent="0.25">
      <c r="A80" s="33">
        <v>45560</v>
      </c>
      <c r="B80" s="28" t="s">
        <v>55</v>
      </c>
      <c r="C80" s="12" t="s">
        <v>113</v>
      </c>
      <c r="D80" s="28" t="s">
        <v>119</v>
      </c>
      <c r="E80" s="13" t="s">
        <v>66</v>
      </c>
      <c r="F80" s="13" t="s">
        <v>18</v>
      </c>
      <c r="G80" s="30">
        <v>1</v>
      </c>
      <c r="H80" s="30">
        <v>1</v>
      </c>
      <c r="I80" s="30">
        <f t="shared" si="3"/>
        <v>0</v>
      </c>
      <c r="J80" s="29" t="s">
        <v>127</v>
      </c>
      <c r="K80" s="28"/>
    </row>
    <row r="81" spans="1:11" ht="13.2" customHeight="1" x14ac:dyDescent="0.25">
      <c r="A81" s="33">
        <v>45560</v>
      </c>
      <c r="B81" s="28" t="s">
        <v>55</v>
      </c>
      <c r="C81" s="12" t="s">
        <v>113</v>
      </c>
      <c r="D81" s="28" t="s">
        <v>120</v>
      </c>
      <c r="E81" s="13"/>
      <c r="F81" s="13" t="s">
        <v>18</v>
      </c>
      <c r="G81" s="30">
        <v>1</v>
      </c>
      <c r="H81" s="30">
        <v>1</v>
      </c>
      <c r="I81" s="30">
        <f t="shared" si="3"/>
        <v>0</v>
      </c>
      <c r="J81" s="29"/>
      <c r="K81" s="28"/>
    </row>
    <row r="82" spans="1:11" ht="13.2" customHeight="1" x14ac:dyDescent="0.25">
      <c r="A82" s="33">
        <v>45561</v>
      </c>
      <c r="B82" s="28" t="s">
        <v>55</v>
      </c>
      <c r="C82" s="12" t="s">
        <v>121</v>
      </c>
      <c r="D82" s="28" t="s">
        <v>198</v>
      </c>
      <c r="E82" s="13" t="s">
        <v>50</v>
      </c>
      <c r="F82" s="13" t="s">
        <v>46</v>
      </c>
      <c r="G82" s="30">
        <v>3</v>
      </c>
      <c r="H82" s="30">
        <v>3</v>
      </c>
      <c r="I82" s="30"/>
      <c r="J82" s="48" t="s">
        <v>199</v>
      </c>
      <c r="K82" s="28"/>
    </row>
    <row r="83" spans="1:11" ht="13.2" customHeight="1" x14ac:dyDescent="0.25">
      <c r="A83" s="33">
        <v>45561</v>
      </c>
      <c r="B83" s="28" t="s">
        <v>55</v>
      </c>
      <c r="C83" s="12" t="s">
        <v>113</v>
      </c>
      <c r="D83" s="28" t="s">
        <v>122</v>
      </c>
      <c r="E83" s="13" t="s">
        <v>66</v>
      </c>
      <c r="F83" s="13"/>
      <c r="G83" s="30">
        <v>0.5</v>
      </c>
      <c r="H83" s="30">
        <v>0.5</v>
      </c>
      <c r="I83" s="30"/>
      <c r="J83" s="48" t="s">
        <v>128</v>
      </c>
      <c r="K83" s="28"/>
    </row>
    <row r="84" spans="1:11" ht="13.2" customHeight="1" x14ac:dyDescent="0.25">
      <c r="A84" s="33">
        <v>45561</v>
      </c>
      <c r="B84" s="28" t="s">
        <v>55</v>
      </c>
      <c r="C84" s="12" t="s">
        <v>179</v>
      </c>
      <c r="D84" s="28" t="s">
        <v>200</v>
      </c>
      <c r="E84" s="13" t="s">
        <v>50</v>
      </c>
      <c r="F84" s="13" t="s">
        <v>46</v>
      </c>
      <c r="G84" s="30">
        <v>3</v>
      </c>
      <c r="H84" s="30">
        <v>3</v>
      </c>
      <c r="I84" s="30"/>
      <c r="J84" s="48" t="s">
        <v>201</v>
      </c>
      <c r="K84" s="28"/>
    </row>
    <row r="85" spans="1:11" ht="13.2" customHeight="1" x14ac:dyDescent="0.25">
      <c r="A85" s="33">
        <v>45561</v>
      </c>
      <c r="B85" s="28" t="s">
        <v>55</v>
      </c>
      <c r="C85" s="12" t="s">
        <v>179</v>
      </c>
      <c r="D85" s="28" t="s">
        <v>183</v>
      </c>
      <c r="E85" s="13" t="s">
        <v>50</v>
      </c>
      <c r="F85" s="13" t="s">
        <v>46</v>
      </c>
      <c r="G85" s="30">
        <v>2</v>
      </c>
      <c r="H85" s="30">
        <v>2</v>
      </c>
      <c r="I85" s="30"/>
      <c r="J85" s="48" t="s">
        <v>202</v>
      </c>
      <c r="K85" s="28"/>
    </row>
    <row r="86" spans="1:11" ht="13.2" customHeight="1" x14ac:dyDescent="0.25">
      <c r="A86" s="33">
        <v>45562</v>
      </c>
      <c r="B86" s="28" t="s">
        <v>55</v>
      </c>
      <c r="C86" s="12" t="s">
        <v>113</v>
      </c>
      <c r="D86" s="28" t="s">
        <v>204</v>
      </c>
      <c r="E86" s="13" t="s">
        <v>66</v>
      </c>
      <c r="F86" s="13" t="s">
        <v>18</v>
      </c>
      <c r="G86" s="30">
        <v>3</v>
      </c>
      <c r="H86" s="30">
        <v>4</v>
      </c>
      <c r="I86" s="30"/>
      <c r="J86" s="48" t="s">
        <v>205</v>
      </c>
      <c r="K86" s="28"/>
    </row>
    <row r="87" spans="1:11" ht="13.2" customHeight="1" x14ac:dyDescent="0.25">
      <c r="A87" s="33">
        <v>45562</v>
      </c>
      <c r="B87" s="28" t="s">
        <v>55</v>
      </c>
      <c r="C87" s="12" t="s">
        <v>113</v>
      </c>
      <c r="D87" s="28" t="s">
        <v>206</v>
      </c>
      <c r="E87" s="13" t="s">
        <v>66</v>
      </c>
      <c r="F87" s="13" t="s">
        <v>62</v>
      </c>
      <c r="G87" s="30">
        <v>2</v>
      </c>
      <c r="H87" s="30">
        <v>2</v>
      </c>
      <c r="I87" s="30"/>
      <c r="J87" s="48"/>
      <c r="K87" s="28"/>
    </row>
    <row r="88" spans="1:11" ht="13.2" x14ac:dyDescent="0.25">
      <c r="A88" s="33"/>
      <c r="B88" s="28"/>
      <c r="C88" s="12" t="s">
        <v>16</v>
      </c>
      <c r="D88" s="28"/>
      <c r="E88" s="13"/>
      <c r="F88" s="13"/>
      <c r="G88" s="30"/>
      <c r="H88" s="30"/>
      <c r="I88" s="30">
        <f t="shared" si="3"/>
        <v>0</v>
      </c>
      <c r="K88" s="28"/>
    </row>
    <row r="89" spans="1:11" ht="13.2" x14ac:dyDescent="0.25">
      <c r="A89" s="33"/>
      <c r="B89" s="21"/>
      <c r="C89" s="21"/>
      <c r="D89" s="21"/>
      <c r="E89" s="21" t="s">
        <v>19</v>
      </c>
      <c r="F89" s="21"/>
      <c r="G89" s="24">
        <f>SUM(G67:G88)</f>
        <v>37.200000000000003</v>
      </c>
      <c r="H89" s="24">
        <f>SUM(H67:H88)</f>
        <v>40.700000000000003</v>
      </c>
      <c r="I89" s="24">
        <f t="shared" si="3"/>
        <v>3.5</v>
      </c>
      <c r="J89" s="25"/>
      <c r="K89" s="21"/>
    </row>
    <row r="90" spans="1:11" ht="18.75" customHeight="1" x14ac:dyDescent="0.25">
      <c r="A90" s="61" t="s">
        <v>24</v>
      </c>
      <c r="B90" s="53"/>
      <c r="C90" s="53"/>
      <c r="D90" s="53"/>
      <c r="E90" s="53"/>
      <c r="F90" s="53"/>
      <c r="G90" s="53"/>
      <c r="H90" s="53"/>
      <c r="I90" s="53"/>
      <c r="J90" s="53"/>
      <c r="K90" s="54"/>
    </row>
    <row r="91" spans="1:11" ht="13.2" x14ac:dyDescent="0.25">
      <c r="A91" s="36" t="s">
        <v>12</v>
      </c>
      <c r="B91" s="62" t="s">
        <v>13</v>
      </c>
      <c r="C91" s="53"/>
      <c r="D91" s="53"/>
      <c r="E91" s="53"/>
      <c r="F91" s="53"/>
      <c r="G91" s="53"/>
      <c r="H91" s="53"/>
      <c r="I91" s="53"/>
      <c r="J91" s="53"/>
      <c r="K91" s="54"/>
    </row>
    <row r="92" spans="1:11" ht="27.75" customHeight="1" x14ac:dyDescent="0.25">
      <c r="A92" s="37" t="s">
        <v>14</v>
      </c>
      <c r="B92" s="62" t="s">
        <v>15</v>
      </c>
      <c r="C92" s="53"/>
      <c r="D92" s="53"/>
      <c r="E92" s="53"/>
      <c r="F92" s="53"/>
      <c r="G92" s="53"/>
      <c r="H92" s="53"/>
      <c r="I92" s="53"/>
      <c r="J92" s="53"/>
      <c r="K92" s="54"/>
    </row>
    <row r="93" spans="1:11" ht="13.2" x14ac:dyDescent="0.25">
      <c r="A93" s="33">
        <v>45565</v>
      </c>
      <c r="B93" s="28" t="s">
        <v>55</v>
      </c>
      <c r="C93" s="12" t="s">
        <v>102</v>
      </c>
      <c r="D93" s="28"/>
      <c r="E93" s="13" t="s">
        <v>66</v>
      </c>
      <c r="F93" s="13" t="s">
        <v>17</v>
      </c>
      <c r="G93" s="30">
        <v>1.5</v>
      </c>
      <c r="H93" s="30">
        <v>1.5</v>
      </c>
      <c r="I93" s="30">
        <f t="shared" ref="I93:I106" si="4">H93-G93</f>
        <v>0</v>
      </c>
      <c r="J93" s="48" t="s">
        <v>207</v>
      </c>
      <c r="K93" s="28"/>
    </row>
    <row r="94" spans="1:11" ht="13.2" x14ac:dyDescent="0.25">
      <c r="A94" s="33">
        <v>45565</v>
      </c>
      <c r="B94" s="28" t="s">
        <v>55</v>
      </c>
      <c r="C94" s="12" t="s">
        <v>208</v>
      </c>
      <c r="D94" s="28" t="s">
        <v>209</v>
      </c>
      <c r="E94" s="13" t="s">
        <v>66</v>
      </c>
      <c r="F94" s="13" t="s">
        <v>18</v>
      </c>
      <c r="G94" s="30">
        <v>3</v>
      </c>
      <c r="H94" s="30">
        <v>4</v>
      </c>
      <c r="I94" s="30">
        <f t="shared" si="4"/>
        <v>1</v>
      </c>
      <c r="J94" s="48" t="s">
        <v>210</v>
      </c>
      <c r="K94" t="s">
        <v>213</v>
      </c>
    </row>
    <row r="95" spans="1:11" ht="13.2" x14ac:dyDescent="0.25">
      <c r="A95" s="33">
        <v>45565</v>
      </c>
      <c r="B95" s="28" t="s">
        <v>55</v>
      </c>
      <c r="C95" s="12" t="s">
        <v>208</v>
      </c>
      <c r="D95" s="28" t="s">
        <v>211</v>
      </c>
      <c r="E95" s="13" t="s">
        <v>66</v>
      </c>
      <c r="F95" s="13" t="s">
        <v>62</v>
      </c>
      <c r="G95" s="30">
        <v>3</v>
      </c>
      <c r="H95" s="30">
        <v>4</v>
      </c>
      <c r="I95" s="30">
        <f t="shared" si="4"/>
        <v>1</v>
      </c>
      <c r="J95" s="48" t="s">
        <v>212</v>
      </c>
      <c r="K95" s="28" t="s">
        <v>213</v>
      </c>
    </row>
    <row r="96" spans="1:11" ht="13.2" x14ac:dyDescent="0.25">
      <c r="A96" s="33">
        <v>45566</v>
      </c>
      <c r="B96" s="28" t="s">
        <v>55</v>
      </c>
      <c r="C96" s="12" t="s">
        <v>174</v>
      </c>
      <c r="D96" s="28" t="s">
        <v>214</v>
      </c>
      <c r="E96" s="13" t="s">
        <v>53</v>
      </c>
      <c r="F96" s="13" t="s">
        <v>18</v>
      </c>
      <c r="G96" s="30">
        <v>4</v>
      </c>
      <c r="H96" s="30">
        <v>4</v>
      </c>
      <c r="I96" s="30">
        <f t="shared" si="4"/>
        <v>0</v>
      </c>
      <c r="J96" s="29"/>
      <c r="K96" s="28"/>
    </row>
    <row r="97" spans="1:11" ht="13.2" x14ac:dyDescent="0.25">
      <c r="A97" s="33">
        <v>45566</v>
      </c>
      <c r="B97" s="28" t="s">
        <v>55</v>
      </c>
      <c r="C97" s="12" t="s">
        <v>215</v>
      </c>
      <c r="D97" s="28" t="s">
        <v>216</v>
      </c>
      <c r="E97" s="13" t="s">
        <v>66</v>
      </c>
      <c r="F97" s="13" t="s">
        <v>57</v>
      </c>
      <c r="G97" s="30">
        <v>3</v>
      </c>
      <c r="H97" s="30">
        <v>3</v>
      </c>
      <c r="I97" s="30">
        <f t="shared" si="4"/>
        <v>0</v>
      </c>
      <c r="J97" s="29"/>
      <c r="K97" s="28"/>
    </row>
    <row r="98" spans="1:11" ht="13.2" x14ac:dyDescent="0.25">
      <c r="A98" s="33">
        <v>45567</v>
      </c>
      <c r="B98" s="28" t="s">
        <v>55</v>
      </c>
      <c r="C98" s="12" t="s">
        <v>174</v>
      </c>
      <c r="D98" s="28"/>
      <c r="E98" s="13" t="s">
        <v>66</v>
      </c>
      <c r="F98" s="13" t="s">
        <v>57</v>
      </c>
      <c r="G98" s="30">
        <v>2</v>
      </c>
      <c r="H98" s="30">
        <v>2</v>
      </c>
      <c r="I98" s="30">
        <f t="shared" si="4"/>
        <v>0</v>
      </c>
      <c r="J98" s="29"/>
      <c r="K98" s="28"/>
    </row>
    <row r="99" spans="1:11" ht="13.2" x14ac:dyDescent="0.25">
      <c r="A99" s="33">
        <v>45567</v>
      </c>
      <c r="B99" s="28" t="s">
        <v>55</v>
      </c>
      <c r="C99" s="12" t="s">
        <v>217</v>
      </c>
      <c r="D99" s="28" t="s">
        <v>218</v>
      </c>
      <c r="E99" s="13" t="s">
        <v>66</v>
      </c>
      <c r="F99" s="13" t="s">
        <v>46</v>
      </c>
      <c r="G99" s="30">
        <v>4</v>
      </c>
      <c r="H99" s="30">
        <v>4</v>
      </c>
      <c r="I99" s="30">
        <f t="shared" si="4"/>
        <v>0</v>
      </c>
      <c r="J99" s="48" t="s">
        <v>219</v>
      </c>
      <c r="K99" s="28"/>
    </row>
    <row r="100" spans="1:11" ht="13.2" x14ac:dyDescent="0.25">
      <c r="A100" s="33">
        <v>45568</v>
      </c>
      <c r="B100" s="28" t="s">
        <v>55</v>
      </c>
      <c r="C100" s="12" t="s">
        <v>179</v>
      </c>
      <c r="D100" s="28" t="s">
        <v>220</v>
      </c>
      <c r="E100" s="13" t="s">
        <v>50</v>
      </c>
      <c r="F100" s="13" t="s">
        <v>46</v>
      </c>
      <c r="G100" s="30">
        <v>3</v>
      </c>
      <c r="H100" s="30">
        <v>3</v>
      </c>
      <c r="I100" s="30">
        <f t="shared" si="4"/>
        <v>0</v>
      </c>
      <c r="J100" s="29"/>
      <c r="K100" s="28"/>
    </row>
    <row r="101" spans="1:11" ht="13.2" x14ac:dyDescent="0.25">
      <c r="A101" s="33">
        <v>45568</v>
      </c>
      <c r="B101" s="28" t="s">
        <v>55</v>
      </c>
      <c r="C101" s="12" t="s">
        <v>179</v>
      </c>
      <c r="D101" s="28" t="s">
        <v>221</v>
      </c>
      <c r="E101" s="13" t="s">
        <v>50</v>
      </c>
      <c r="F101" s="13" t="s">
        <v>46</v>
      </c>
      <c r="G101" s="30">
        <v>3</v>
      </c>
      <c r="H101" s="30">
        <v>3</v>
      </c>
      <c r="I101" s="30">
        <f t="shared" si="4"/>
        <v>0</v>
      </c>
      <c r="J101" s="29"/>
      <c r="K101" s="28"/>
    </row>
    <row r="102" spans="1:11" ht="13.2" x14ac:dyDescent="0.25">
      <c r="A102" s="33">
        <v>45568</v>
      </c>
      <c r="B102" s="28" t="s">
        <v>55</v>
      </c>
      <c r="C102" s="12" t="s">
        <v>157</v>
      </c>
      <c r="D102" s="28" t="s">
        <v>183</v>
      </c>
      <c r="E102" s="13" t="s">
        <v>50</v>
      </c>
      <c r="F102" s="13" t="s">
        <v>46</v>
      </c>
      <c r="G102" s="30">
        <v>2</v>
      </c>
      <c r="H102" s="30">
        <v>2</v>
      </c>
      <c r="I102" s="30">
        <f t="shared" si="4"/>
        <v>0</v>
      </c>
      <c r="J102" s="48" t="s">
        <v>222</v>
      </c>
    </row>
    <row r="103" spans="1:11" ht="13.2" x14ac:dyDescent="0.25">
      <c r="A103" s="33">
        <v>45569</v>
      </c>
      <c r="B103" s="28" t="s">
        <v>55</v>
      </c>
      <c r="C103" s="12" t="s">
        <v>174</v>
      </c>
      <c r="D103" s="28" t="s">
        <v>223</v>
      </c>
      <c r="E103" s="13" t="s">
        <v>66</v>
      </c>
      <c r="F103" s="13" t="s">
        <v>57</v>
      </c>
      <c r="G103" s="30">
        <v>2</v>
      </c>
      <c r="H103" s="30">
        <v>2</v>
      </c>
      <c r="I103" s="30">
        <f t="shared" si="4"/>
        <v>0</v>
      </c>
      <c r="J103" s="29"/>
    </row>
    <row r="104" spans="1:11" ht="13.2" x14ac:dyDescent="0.25">
      <c r="A104" s="33">
        <v>45569</v>
      </c>
      <c r="B104" s="28" t="s">
        <v>55</v>
      </c>
      <c r="C104" s="12" t="s">
        <v>217</v>
      </c>
      <c r="D104" s="28" t="s">
        <v>224</v>
      </c>
      <c r="E104" s="13" t="s">
        <v>66</v>
      </c>
      <c r="F104" s="13" t="s">
        <v>17</v>
      </c>
      <c r="G104" s="30">
        <v>4</v>
      </c>
      <c r="H104" s="30">
        <v>4</v>
      </c>
      <c r="I104" s="30">
        <f t="shared" si="4"/>
        <v>0</v>
      </c>
      <c r="J104" s="48" t="s">
        <v>225</v>
      </c>
    </row>
    <row r="105" spans="1:11" ht="13.2" x14ac:dyDescent="0.25">
      <c r="B105" s="28"/>
      <c r="C105" s="12" t="s">
        <v>16</v>
      </c>
      <c r="D105" s="28"/>
      <c r="E105" s="13"/>
      <c r="F105" s="13"/>
      <c r="G105" s="30"/>
      <c r="H105" s="30"/>
      <c r="I105" s="30">
        <f t="shared" si="4"/>
        <v>0</v>
      </c>
      <c r="J105" s="28"/>
    </row>
    <row r="106" spans="1:11" ht="13.2" x14ac:dyDescent="0.25">
      <c r="A106" s="19"/>
      <c r="B106" s="21"/>
      <c r="C106" s="21"/>
      <c r="D106" s="21"/>
      <c r="E106" s="21" t="s">
        <v>19</v>
      </c>
      <c r="F106" s="21"/>
      <c r="G106" s="24">
        <f>SUM(G93:G105)</f>
        <v>34.5</v>
      </c>
      <c r="H106" s="24">
        <f>SUM(H93:H105)</f>
        <v>36.5</v>
      </c>
      <c r="I106" s="24">
        <f t="shared" si="4"/>
        <v>2</v>
      </c>
      <c r="J106" s="25"/>
      <c r="K106" s="21"/>
    </row>
    <row r="107" spans="1:11" ht="18.75" customHeight="1" x14ac:dyDescent="0.25">
      <c r="A107" s="67" t="s">
        <v>25</v>
      </c>
      <c r="B107" s="53"/>
      <c r="C107" s="53"/>
      <c r="D107" s="53"/>
      <c r="E107" s="53"/>
      <c r="F107" s="53"/>
      <c r="G107" s="53"/>
      <c r="H107" s="53"/>
      <c r="I107" s="53"/>
      <c r="J107" s="53"/>
      <c r="K107" s="54"/>
    </row>
    <row r="108" spans="1:11" ht="13.2" x14ac:dyDescent="0.25">
      <c r="A108" s="38" t="s">
        <v>12</v>
      </c>
      <c r="B108" s="68" t="s">
        <v>13</v>
      </c>
      <c r="C108" s="53"/>
      <c r="D108" s="53"/>
      <c r="E108" s="53"/>
      <c r="F108" s="53"/>
      <c r="G108" s="53"/>
      <c r="H108" s="53"/>
      <c r="I108" s="53"/>
      <c r="J108" s="53"/>
      <c r="K108" s="54"/>
    </row>
    <row r="109" spans="1:11" ht="27.75" customHeight="1" x14ac:dyDescent="0.25">
      <c r="A109" s="39" t="s">
        <v>14</v>
      </c>
      <c r="B109" s="68" t="s">
        <v>15</v>
      </c>
      <c r="C109" s="53"/>
      <c r="D109" s="53"/>
      <c r="E109" s="53"/>
      <c r="F109" s="53"/>
      <c r="G109" s="53"/>
      <c r="H109" s="53"/>
      <c r="I109" s="53"/>
      <c r="J109" s="53"/>
      <c r="K109" s="54"/>
    </row>
    <row r="110" spans="1:11" ht="13.2" x14ac:dyDescent="0.25">
      <c r="A110" s="33">
        <v>45572</v>
      </c>
      <c r="B110" s="28" t="s">
        <v>55</v>
      </c>
      <c r="C110" s="12" t="s">
        <v>215</v>
      </c>
      <c r="D110" s="28" t="s">
        <v>226</v>
      </c>
      <c r="E110" s="13" t="s">
        <v>66</v>
      </c>
      <c r="F110" s="13" t="s">
        <v>17</v>
      </c>
      <c r="G110" s="30">
        <v>1.5</v>
      </c>
      <c r="H110" s="30">
        <v>1.5</v>
      </c>
      <c r="I110" s="30">
        <f t="shared" ref="I110:I120" si="5">H110-G110</f>
        <v>0</v>
      </c>
      <c r="J110" s="29" t="s">
        <v>227</v>
      </c>
      <c r="K110" s="28"/>
    </row>
    <row r="111" spans="1:11" ht="13.2" x14ac:dyDescent="0.25">
      <c r="A111" s="33">
        <v>45572</v>
      </c>
      <c r="B111" s="28" t="s">
        <v>55</v>
      </c>
      <c r="C111" s="12" t="s">
        <v>208</v>
      </c>
      <c r="D111" s="28" t="s">
        <v>204</v>
      </c>
      <c r="E111" s="13" t="s">
        <v>66</v>
      </c>
      <c r="F111" s="13" t="s">
        <v>62</v>
      </c>
      <c r="G111" s="30">
        <v>3</v>
      </c>
      <c r="H111" s="30">
        <v>4</v>
      </c>
      <c r="I111" s="30">
        <f t="shared" si="5"/>
        <v>1</v>
      </c>
      <c r="J111" s="48" t="s">
        <v>228</v>
      </c>
      <c r="K111" s="28"/>
    </row>
    <row r="112" spans="1:11" ht="13.2" x14ac:dyDescent="0.25">
      <c r="A112" s="33">
        <v>45573</v>
      </c>
      <c r="B112" s="28" t="s">
        <v>55</v>
      </c>
      <c r="C112" s="12" t="s">
        <v>174</v>
      </c>
      <c r="D112" s="28"/>
      <c r="E112" s="13" t="s">
        <v>66</v>
      </c>
      <c r="F112" s="13" t="s">
        <v>57</v>
      </c>
      <c r="G112" s="30">
        <v>2</v>
      </c>
      <c r="H112" s="30">
        <v>2</v>
      </c>
      <c r="I112" s="30">
        <f t="shared" si="5"/>
        <v>0</v>
      </c>
      <c r="J112" s="29"/>
      <c r="K112" s="28"/>
    </row>
    <row r="113" spans="1:11" ht="13.2" x14ac:dyDescent="0.25">
      <c r="A113" s="33">
        <v>45573</v>
      </c>
      <c r="B113" s="28" t="s">
        <v>55</v>
      </c>
      <c r="C113" s="12" t="s">
        <v>215</v>
      </c>
      <c r="D113" s="28" t="s">
        <v>229</v>
      </c>
      <c r="E113" s="13" t="s">
        <v>66</v>
      </c>
      <c r="F113" s="13" t="s">
        <v>17</v>
      </c>
      <c r="G113" s="30">
        <v>4</v>
      </c>
      <c r="H113" s="30">
        <v>4</v>
      </c>
      <c r="I113" s="30">
        <f t="shared" si="5"/>
        <v>0</v>
      </c>
      <c r="J113" s="48" t="s">
        <v>230</v>
      </c>
      <c r="K113" s="28"/>
    </row>
    <row r="114" spans="1:11" ht="13.2" x14ac:dyDescent="0.25">
      <c r="A114" s="33">
        <v>45574</v>
      </c>
      <c r="B114" s="28" t="s">
        <v>55</v>
      </c>
      <c r="C114" s="12" t="s">
        <v>215</v>
      </c>
      <c r="D114" s="28" t="s">
        <v>229</v>
      </c>
      <c r="E114" s="13" t="s">
        <v>66</v>
      </c>
      <c r="F114" s="13" t="s">
        <v>17</v>
      </c>
      <c r="G114" s="30">
        <v>4</v>
      </c>
      <c r="H114" s="30">
        <v>4</v>
      </c>
      <c r="I114" s="30">
        <f t="shared" si="5"/>
        <v>0</v>
      </c>
      <c r="J114" s="48" t="s">
        <v>231</v>
      </c>
      <c r="K114" s="28"/>
    </row>
    <row r="115" spans="1:11" ht="13.2" x14ac:dyDescent="0.25">
      <c r="A115" s="33">
        <v>45574</v>
      </c>
      <c r="B115" s="28" t="s">
        <v>55</v>
      </c>
      <c r="C115" s="12" t="s">
        <v>174</v>
      </c>
      <c r="D115" s="28" t="s">
        <v>232</v>
      </c>
      <c r="E115" s="13" t="s">
        <v>66</v>
      </c>
      <c r="F115" s="13" t="s">
        <v>57</v>
      </c>
      <c r="G115" s="30">
        <v>3</v>
      </c>
      <c r="H115" s="30">
        <v>3</v>
      </c>
      <c r="I115" s="30">
        <f t="shared" si="5"/>
        <v>0</v>
      </c>
      <c r="J115" s="29"/>
      <c r="K115" s="28"/>
    </row>
    <row r="116" spans="1:11" ht="13.2" x14ac:dyDescent="0.25">
      <c r="A116" s="33">
        <v>45575</v>
      </c>
      <c r="B116" s="28" t="s">
        <v>55</v>
      </c>
      <c r="C116" s="12" t="s">
        <v>179</v>
      </c>
      <c r="D116" s="28" t="s">
        <v>121</v>
      </c>
      <c r="E116" s="13" t="s">
        <v>50</v>
      </c>
      <c r="F116" s="13" t="s">
        <v>46</v>
      </c>
      <c r="G116" s="30">
        <v>3</v>
      </c>
      <c r="H116" s="30">
        <v>3</v>
      </c>
      <c r="I116" s="30">
        <f t="shared" si="5"/>
        <v>0</v>
      </c>
      <c r="J116" s="29"/>
      <c r="K116" s="28"/>
    </row>
    <row r="117" spans="1:11" ht="13.2" x14ac:dyDescent="0.25">
      <c r="A117" s="33">
        <v>45575</v>
      </c>
      <c r="B117" s="28" t="s">
        <v>55</v>
      </c>
      <c r="C117" s="12" t="s">
        <v>215</v>
      </c>
      <c r="D117" s="28" t="s">
        <v>233</v>
      </c>
      <c r="E117" s="13" t="s">
        <v>66</v>
      </c>
      <c r="F117" s="13" t="s">
        <v>17</v>
      </c>
      <c r="G117" s="30">
        <v>4</v>
      </c>
      <c r="H117" s="30">
        <v>4</v>
      </c>
      <c r="I117" s="30">
        <f t="shared" si="5"/>
        <v>0</v>
      </c>
      <c r="J117" s="48" t="s">
        <v>225</v>
      </c>
      <c r="K117" s="28" t="s">
        <v>234</v>
      </c>
    </row>
    <row r="118" spans="1:11" ht="13.2" x14ac:dyDescent="0.25">
      <c r="A118" s="33">
        <v>45576</v>
      </c>
      <c r="B118" s="28" t="s">
        <v>55</v>
      </c>
      <c r="C118" s="12" t="s">
        <v>115</v>
      </c>
      <c r="D118" s="28" t="s">
        <v>235</v>
      </c>
      <c r="E118" s="13" t="s">
        <v>66</v>
      </c>
      <c r="F118" s="13" t="s">
        <v>46</v>
      </c>
      <c r="G118" s="30">
        <v>3</v>
      </c>
      <c r="H118" s="30">
        <v>3</v>
      </c>
      <c r="I118" s="30">
        <f t="shared" si="5"/>
        <v>0</v>
      </c>
      <c r="J118" s="48" t="s">
        <v>236</v>
      </c>
      <c r="K118" s="28"/>
    </row>
    <row r="119" spans="1:11" ht="13.2" x14ac:dyDescent="0.25">
      <c r="A119" s="33"/>
      <c r="B119" s="28"/>
      <c r="C119" s="12" t="s">
        <v>16</v>
      </c>
      <c r="D119" s="28"/>
      <c r="E119" s="13"/>
      <c r="F119" s="13"/>
      <c r="G119" s="30"/>
      <c r="H119" s="30"/>
      <c r="I119" s="30">
        <f t="shared" si="5"/>
        <v>0</v>
      </c>
      <c r="K119" s="28"/>
    </row>
    <row r="120" spans="1:11" ht="13.2" x14ac:dyDescent="0.25">
      <c r="A120" s="19"/>
      <c r="B120" s="21"/>
      <c r="C120" s="21"/>
      <c r="D120" s="21"/>
      <c r="E120" s="21" t="s">
        <v>19</v>
      </c>
      <c r="F120" s="21"/>
      <c r="G120" s="24">
        <f>SUM(G110:G119)</f>
        <v>27.5</v>
      </c>
      <c r="H120" s="24">
        <f>SUM(H110:H119)</f>
        <v>28.5</v>
      </c>
      <c r="I120" s="24">
        <f t="shared" si="5"/>
        <v>1</v>
      </c>
      <c r="J120" s="25"/>
      <c r="K120" s="21"/>
    </row>
    <row r="121" spans="1:11" ht="18.75" customHeight="1" x14ac:dyDescent="0.25">
      <c r="A121" s="69" t="s">
        <v>26</v>
      </c>
      <c r="B121" s="53"/>
      <c r="C121" s="53"/>
      <c r="D121" s="53"/>
      <c r="E121" s="53"/>
      <c r="F121" s="53"/>
      <c r="G121" s="53"/>
      <c r="H121" s="53"/>
      <c r="I121" s="53"/>
      <c r="J121" s="53"/>
      <c r="K121" s="54"/>
    </row>
    <row r="122" spans="1:11" ht="13.2" x14ac:dyDescent="0.25">
      <c r="A122" s="40" t="s">
        <v>12</v>
      </c>
      <c r="B122" s="70" t="s">
        <v>13</v>
      </c>
      <c r="C122" s="53"/>
      <c r="D122" s="53"/>
      <c r="E122" s="53"/>
      <c r="F122" s="53"/>
      <c r="G122" s="53"/>
      <c r="H122" s="53"/>
      <c r="I122" s="53"/>
      <c r="J122" s="53"/>
      <c r="K122" s="54"/>
    </row>
    <row r="123" spans="1:11" ht="28.5" customHeight="1" x14ac:dyDescent="0.25">
      <c r="A123" s="41" t="s">
        <v>14</v>
      </c>
      <c r="B123" s="70" t="s">
        <v>15</v>
      </c>
      <c r="C123" s="53"/>
      <c r="D123" s="53"/>
      <c r="E123" s="53"/>
      <c r="F123" s="53"/>
      <c r="G123" s="53"/>
      <c r="H123" s="53"/>
      <c r="I123" s="53"/>
      <c r="J123" s="53"/>
      <c r="K123" s="54"/>
    </row>
    <row r="124" spans="1:11" ht="13.2" x14ac:dyDescent="0.25">
      <c r="A124" s="33">
        <v>45579</v>
      </c>
      <c r="B124" s="28" t="s">
        <v>55</v>
      </c>
      <c r="C124" s="12" t="s">
        <v>174</v>
      </c>
      <c r="D124" s="28"/>
      <c r="E124" s="13" t="s">
        <v>66</v>
      </c>
      <c r="F124" s="13" t="s">
        <v>18</v>
      </c>
      <c r="G124" s="30">
        <v>3</v>
      </c>
      <c r="H124" s="30">
        <v>3</v>
      </c>
      <c r="I124" s="30">
        <f t="shared" ref="I124:I134" si="6">H124-G124</f>
        <v>0</v>
      </c>
      <c r="J124" s="29"/>
      <c r="K124" s="28"/>
    </row>
    <row r="125" spans="1:11" ht="13.2" x14ac:dyDescent="0.25">
      <c r="A125" s="33">
        <v>45579</v>
      </c>
      <c r="B125" s="28" t="s">
        <v>55</v>
      </c>
      <c r="C125" s="12" t="s">
        <v>208</v>
      </c>
      <c r="D125" s="28" t="s">
        <v>204</v>
      </c>
      <c r="E125" s="13" t="s">
        <v>66</v>
      </c>
      <c r="F125" s="13" t="s">
        <v>57</v>
      </c>
      <c r="G125" s="30">
        <v>4</v>
      </c>
      <c r="H125" s="30">
        <v>4</v>
      </c>
      <c r="I125" s="30">
        <f t="shared" si="6"/>
        <v>0</v>
      </c>
      <c r="J125" s="29" t="s">
        <v>237</v>
      </c>
      <c r="K125" s="28"/>
    </row>
    <row r="126" spans="1:11" ht="13.2" x14ac:dyDescent="0.25">
      <c r="A126" s="33">
        <v>45580</v>
      </c>
      <c r="B126" s="28" t="s">
        <v>55</v>
      </c>
      <c r="C126" s="12" t="s">
        <v>238</v>
      </c>
      <c r="D126" s="28"/>
      <c r="E126" s="13" t="s">
        <v>50</v>
      </c>
      <c r="F126" s="13" t="s">
        <v>46</v>
      </c>
      <c r="G126" s="30">
        <v>4</v>
      </c>
      <c r="H126" s="30">
        <v>4</v>
      </c>
      <c r="I126" s="30">
        <f t="shared" si="6"/>
        <v>0</v>
      </c>
      <c r="J126" s="48" t="s">
        <v>239</v>
      </c>
      <c r="K126" s="28"/>
    </row>
    <row r="127" spans="1:11" ht="13.2" x14ac:dyDescent="0.25">
      <c r="A127" s="33">
        <v>45581</v>
      </c>
      <c r="B127" s="28" t="s">
        <v>55</v>
      </c>
      <c r="C127" s="12" t="s">
        <v>240</v>
      </c>
      <c r="D127" s="28" t="s">
        <v>241</v>
      </c>
      <c r="E127" s="13" t="s">
        <v>50</v>
      </c>
      <c r="F127" s="13" t="s">
        <v>46</v>
      </c>
      <c r="G127" s="30">
        <v>4</v>
      </c>
      <c r="H127" s="30">
        <v>4</v>
      </c>
      <c r="I127" s="30">
        <f t="shared" si="6"/>
        <v>0</v>
      </c>
      <c r="J127" s="48" t="s">
        <v>239</v>
      </c>
      <c r="K127" s="28"/>
    </row>
    <row r="128" spans="1:11" ht="13.2" x14ac:dyDescent="0.25">
      <c r="A128" s="33">
        <v>45581</v>
      </c>
      <c r="B128" s="28" t="s">
        <v>55</v>
      </c>
      <c r="C128" s="12" t="s">
        <v>240</v>
      </c>
      <c r="D128" s="28" t="s">
        <v>241</v>
      </c>
      <c r="E128" s="13" t="s">
        <v>179</v>
      </c>
      <c r="F128" s="13" t="s">
        <v>46</v>
      </c>
      <c r="G128" s="30">
        <v>4</v>
      </c>
      <c r="H128" s="30">
        <v>4</v>
      </c>
      <c r="I128" s="30">
        <f t="shared" si="6"/>
        <v>0</v>
      </c>
      <c r="J128" s="48" t="s">
        <v>239</v>
      </c>
      <c r="K128" s="28"/>
    </row>
    <row r="129" spans="1:11" ht="13.2" x14ac:dyDescent="0.25">
      <c r="A129" s="33">
        <v>45582</v>
      </c>
      <c r="B129" s="28" t="s">
        <v>55</v>
      </c>
      <c r="C129" s="12" t="s">
        <v>240</v>
      </c>
      <c r="D129" s="28" t="s">
        <v>241</v>
      </c>
      <c r="E129" s="13" t="s">
        <v>50</v>
      </c>
      <c r="F129" s="13" t="s">
        <v>46</v>
      </c>
      <c r="G129" s="30">
        <v>4</v>
      </c>
      <c r="H129" s="30">
        <v>4</v>
      </c>
      <c r="I129" s="30">
        <f t="shared" si="6"/>
        <v>0</v>
      </c>
      <c r="J129" s="29"/>
      <c r="K129" s="28" t="s">
        <v>242</v>
      </c>
    </row>
    <row r="130" spans="1:11" ht="13.2" x14ac:dyDescent="0.25">
      <c r="A130" s="33">
        <v>45582</v>
      </c>
      <c r="B130" s="28" t="s">
        <v>55</v>
      </c>
      <c r="C130" s="12" t="s">
        <v>240</v>
      </c>
      <c r="D130" s="28" t="s">
        <v>251</v>
      </c>
      <c r="E130" s="13" t="s">
        <v>50</v>
      </c>
      <c r="F130" s="13" t="s">
        <v>46</v>
      </c>
      <c r="G130" s="30">
        <v>4</v>
      </c>
      <c r="H130" s="30">
        <v>4</v>
      </c>
      <c r="I130" s="30">
        <f t="shared" si="6"/>
        <v>0</v>
      </c>
      <c r="J130" s="29"/>
      <c r="K130" s="28"/>
    </row>
    <row r="131" spans="1:11" ht="13.2" x14ac:dyDescent="0.25">
      <c r="A131" s="33">
        <v>45582</v>
      </c>
      <c r="B131" s="28" t="s">
        <v>55</v>
      </c>
      <c r="C131" s="12" t="s">
        <v>240</v>
      </c>
      <c r="D131" s="28" t="s">
        <v>252</v>
      </c>
      <c r="E131" s="13" t="s">
        <v>50</v>
      </c>
      <c r="F131" s="13" t="s">
        <v>46</v>
      </c>
      <c r="G131" s="30">
        <v>2</v>
      </c>
      <c r="H131" s="30">
        <v>2</v>
      </c>
      <c r="I131" s="30">
        <f t="shared" si="6"/>
        <v>0</v>
      </c>
      <c r="J131" s="29"/>
      <c r="K131" s="28"/>
    </row>
    <row r="132" spans="1:11" ht="13.2" x14ac:dyDescent="0.25">
      <c r="A132" s="33"/>
      <c r="B132" s="28"/>
      <c r="C132" s="12" t="s">
        <v>16</v>
      </c>
      <c r="D132" s="28"/>
      <c r="E132" s="13"/>
      <c r="F132" s="13"/>
      <c r="G132" s="30"/>
      <c r="H132" s="30"/>
      <c r="I132" s="30">
        <f t="shared" si="6"/>
        <v>0</v>
      </c>
      <c r="J132" s="29"/>
      <c r="K132" s="28"/>
    </row>
    <row r="133" spans="1:11" ht="13.2" x14ac:dyDescent="0.25">
      <c r="A133" s="33"/>
      <c r="B133" s="28"/>
      <c r="C133" s="12" t="s">
        <v>16</v>
      </c>
      <c r="D133" s="28"/>
      <c r="E133" s="13"/>
      <c r="F133" s="13"/>
      <c r="G133" s="30"/>
      <c r="H133" s="30"/>
      <c r="I133" s="30">
        <f t="shared" si="6"/>
        <v>0</v>
      </c>
      <c r="J133" s="29"/>
      <c r="K133" s="28"/>
    </row>
    <row r="134" spans="1:11" ht="13.2" x14ac:dyDescent="0.25">
      <c r="A134" s="19"/>
      <c r="B134" s="21"/>
      <c r="C134" s="21"/>
      <c r="D134" s="21"/>
      <c r="E134" s="21" t="s">
        <v>19</v>
      </c>
      <c r="F134" s="21"/>
      <c r="G134" s="24">
        <f>SUM(G124:G133)</f>
        <v>29</v>
      </c>
      <c r="H134" s="24">
        <f>SUM(H124:H133)</f>
        <v>29</v>
      </c>
      <c r="I134" s="24">
        <f t="shared" si="6"/>
        <v>0</v>
      </c>
      <c r="J134" s="25"/>
      <c r="K134" s="21"/>
    </row>
    <row r="135" spans="1:11" ht="13.2" x14ac:dyDescent="0.25">
      <c r="A135" s="63" t="s">
        <v>27</v>
      </c>
      <c r="B135" s="53"/>
      <c r="C135" s="53"/>
      <c r="D135" s="53"/>
      <c r="E135" s="53"/>
      <c r="F135" s="53"/>
      <c r="G135" s="53"/>
      <c r="H135" s="53"/>
      <c r="I135" s="53"/>
      <c r="J135" s="53"/>
      <c r="K135" s="54"/>
    </row>
    <row r="136" spans="1:11" ht="13.2" x14ac:dyDescent="0.25">
      <c r="A136" s="42" t="s">
        <v>12</v>
      </c>
      <c r="B136" s="64" t="s">
        <v>13</v>
      </c>
      <c r="C136" s="51"/>
      <c r="D136" s="51"/>
      <c r="E136" s="51"/>
      <c r="F136" s="51"/>
      <c r="G136" s="51"/>
      <c r="H136" s="51"/>
      <c r="I136" s="51"/>
      <c r="J136" s="51"/>
      <c r="K136" s="65"/>
    </row>
    <row r="137" spans="1:11" ht="27.75" customHeight="1" x14ac:dyDescent="0.25">
      <c r="A137" s="43" t="s">
        <v>14</v>
      </c>
      <c r="B137" s="66" t="s">
        <v>15</v>
      </c>
      <c r="C137" s="51"/>
      <c r="D137" s="51"/>
      <c r="E137" s="51"/>
      <c r="F137" s="51"/>
      <c r="G137" s="51"/>
      <c r="H137" s="51"/>
      <c r="I137" s="51"/>
      <c r="J137" s="51"/>
      <c r="K137" s="65"/>
    </row>
    <row r="138" spans="1:11" ht="13.2" x14ac:dyDescent="0.25">
      <c r="A138" s="33">
        <v>45593</v>
      </c>
      <c r="B138" s="28" t="s">
        <v>55</v>
      </c>
      <c r="C138" s="12" t="s">
        <v>243</v>
      </c>
      <c r="D138" s="28" t="s">
        <v>244</v>
      </c>
      <c r="E138" s="13" t="s">
        <v>66</v>
      </c>
      <c r="F138" s="13" t="s">
        <v>18</v>
      </c>
      <c r="G138" s="30">
        <v>6</v>
      </c>
      <c r="H138" s="30">
        <v>6</v>
      </c>
      <c r="I138" s="30">
        <f t="shared" ref="I138:I148" si="7">H138-G138</f>
        <v>0</v>
      </c>
      <c r="J138" s="29"/>
      <c r="K138" s="28" t="s">
        <v>253</v>
      </c>
    </row>
    <row r="139" spans="1:11" ht="13.2" x14ac:dyDescent="0.25">
      <c r="A139" s="33">
        <v>45593</v>
      </c>
      <c r="B139" s="28" t="s">
        <v>55</v>
      </c>
      <c r="C139" s="12" t="s">
        <v>245</v>
      </c>
      <c r="D139" s="28" t="s">
        <v>246</v>
      </c>
      <c r="E139" s="13" t="s">
        <v>63</v>
      </c>
      <c r="F139" s="13" t="s">
        <v>57</v>
      </c>
      <c r="G139" s="30">
        <v>5</v>
      </c>
      <c r="H139" s="30">
        <v>5</v>
      </c>
      <c r="I139" s="30">
        <f t="shared" si="7"/>
        <v>0</v>
      </c>
      <c r="J139" s="29"/>
      <c r="K139" s="28"/>
    </row>
    <row r="140" spans="1:11" ht="13.2" x14ac:dyDescent="0.25">
      <c r="A140" s="33">
        <v>45594</v>
      </c>
      <c r="B140" s="28" t="s">
        <v>55</v>
      </c>
      <c r="C140" s="12" t="s">
        <v>113</v>
      </c>
      <c r="D140" s="28" t="s">
        <v>214</v>
      </c>
      <c r="E140" s="13" t="s">
        <v>66</v>
      </c>
      <c r="F140" s="13" t="s">
        <v>62</v>
      </c>
      <c r="G140" s="30">
        <v>6</v>
      </c>
      <c r="H140" s="30">
        <v>6</v>
      </c>
      <c r="I140" s="30">
        <f t="shared" si="7"/>
        <v>0</v>
      </c>
      <c r="J140" s="29"/>
      <c r="K140" s="28" t="s">
        <v>253</v>
      </c>
    </row>
    <row r="141" spans="1:11" ht="13.2" x14ac:dyDescent="0.25">
      <c r="A141" s="33">
        <v>45595</v>
      </c>
      <c r="B141" s="28" t="s">
        <v>55</v>
      </c>
      <c r="C141" s="12" t="s">
        <v>247</v>
      </c>
      <c r="D141" s="28" t="s">
        <v>248</v>
      </c>
      <c r="E141" s="13" t="s">
        <v>63</v>
      </c>
      <c r="F141" s="13" t="s">
        <v>57</v>
      </c>
      <c r="G141" s="30">
        <v>3</v>
      </c>
      <c r="H141" s="30">
        <v>3</v>
      </c>
      <c r="I141" s="30">
        <f t="shared" si="7"/>
        <v>0</v>
      </c>
      <c r="J141" s="29"/>
      <c r="K141" s="28"/>
    </row>
    <row r="142" spans="1:11" ht="13.2" x14ac:dyDescent="0.25">
      <c r="A142" s="33">
        <v>45595</v>
      </c>
      <c r="B142" s="28" t="s">
        <v>55</v>
      </c>
      <c r="C142" s="12" t="s">
        <v>113</v>
      </c>
      <c r="D142" s="28" t="s">
        <v>249</v>
      </c>
      <c r="E142" s="13" t="s">
        <v>66</v>
      </c>
      <c r="F142" s="13" t="s">
        <v>18</v>
      </c>
      <c r="G142" s="30">
        <v>4</v>
      </c>
      <c r="H142" s="30">
        <v>4</v>
      </c>
      <c r="I142" s="30">
        <f t="shared" si="7"/>
        <v>0</v>
      </c>
      <c r="J142" s="29"/>
      <c r="K142" s="28" t="s">
        <v>253</v>
      </c>
    </row>
    <row r="143" spans="1:11" ht="13.2" x14ac:dyDescent="0.25">
      <c r="A143" s="33">
        <v>45596</v>
      </c>
      <c r="B143" s="28" t="s">
        <v>55</v>
      </c>
      <c r="C143" s="12" t="s">
        <v>113</v>
      </c>
      <c r="D143" s="28" t="s">
        <v>250</v>
      </c>
      <c r="E143" s="13" t="s">
        <v>66</v>
      </c>
      <c r="F143" s="13" t="s">
        <v>62</v>
      </c>
      <c r="G143" s="30">
        <v>4</v>
      </c>
      <c r="H143" s="30">
        <v>4</v>
      </c>
      <c r="I143" s="30">
        <f t="shared" si="7"/>
        <v>0</v>
      </c>
      <c r="J143" s="29"/>
      <c r="K143" s="28" t="s">
        <v>253</v>
      </c>
    </row>
    <row r="144" spans="1:11" ht="13.2" x14ac:dyDescent="0.25">
      <c r="A144" s="33"/>
      <c r="B144" s="28"/>
      <c r="C144" s="12" t="s">
        <v>16</v>
      </c>
      <c r="D144" s="28"/>
      <c r="E144" s="13"/>
      <c r="F144" s="13"/>
      <c r="G144" s="30"/>
      <c r="H144" s="30"/>
      <c r="I144" s="30">
        <f t="shared" si="7"/>
        <v>0</v>
      </c>
      <c r="J144" s="29"/>
      <c r="K144" s="28"/>
    </row>
    <row r="145" spans="1:11" ht="13.2" x14ac:dyDescent="0.25">
      <c r="A145" s="33"/>
      <c r="B145" s="28"/>
      <c r="C145" s="12" t="s">
        <v>16</v>
      </c>
      <c r="D145" s="28"/>
      <c r="E145" s="13"/>
      <c r="F145" s="13"/>
      <c r="G145" s="30"/>
      <c r="H145" s="30"/>
      <c r="I145" s="30">
        <f t="shared" si="7"/>
        <v>0</v>
      </c>
      <c r="J145" s="29"/>
      <c r="K145" s="28"/>
    </row>
    <row r="146" spans="1:11" ht="13.2" x14ac:dyDescent="0.25">
      <c r="A146" s="33"/>
      <c r="B146" s="28"/>
      <c r="C146" s="12" t="s">
        <v>16</v>
      </c>
      <c r="D146" s="28"/>
      <c r="E146" s="13"/>
      <c r="F146" s="13"/>
      <c r="G146" s="30"/>
      <c r="H146" s="30"/>
      <c r="I146" s="30">
        <f t="shared" si="7"/>
        <v>0</v>
      </c>
      <c r="J146" s="29"/>
      <c r="K146" s="28"/>
    </row>
    <row r="147" spans="1:11" ht="13.2" x14ac:dyDescent="0.25">
      <c r="A147" s="33"/>
      <c r="B147" s="28"/>
      <c r="C147" s="12" t="s">
        <v>16</v>
      </c>
      <c r="D147" s="28"/>
      <c r="E147" s="13"/>
      <c r="F147" s="13"/>
      <c r="G147" s="30"/>
      <c r="H147" s="30"/>
      <c r="I147" s="30">
        <f t="shared" si="7"/>
        <v>0</v>
      </c>
      <c r="J147" s="29"/>
      <c r="K147" s="28"/>
    </row>
    <row r="148" spans="1:11" ht="13.2" x14ac:dyDescent="0.25">
      <c r="A148" s="19"/>
      <c r="B148" s="21"/>
      <c r="C148" s="21"/>
      <c r="D148" s="21"/>
      <c r="E148" s="21" t="s">
        <v>19</v>
      </c>
      <c r="F148" s="21"/>
      <c r="G148" s="24">
        <f>SUM(G138:G147)</f>
        <v>28</v>
      </c>
      <c r="H148" s="24">
        <f>SUM(H138:H147)</f>
        <v>28</v>
      </c>
      <c r="I148" s="24">
        <f t="shared" si="7"/>
        <v>0</v>
      </c>
      <c r="J148" s="25"/>
      <c r="K148" s="21"/>
    </row>
    <row r="149" spans="1:11" ht="13.2" x14ac:dyDescent="0.25">
      <c r="G149" s="44"/>
      <c r="H149" s="44"/>
      <c r="I149" s="30"/>
    </row>
    <row r="150" spans="1:11" ht="13.2" x14ac:dyDescent="0.25">
      <c r="E150" s="45" t="s">
        <v>28</v>
      </c>
      <c r="F150" s="45"/>
      <c r="G150" s="46">
        <f>G23+G45+G63+G89+G106+G120+G134+G148</f>
        <v>243.7</v>
      </c>
      <c r="H150" s="46">
        <f>H23+H45+H63+H89+H106+H120+H134+H148</f>
        <v>255.95</v>
      </c>
      <c r="I150" s="46">
        <f>H150-G150</f>
        <v>12.25</v>
      </c>
    </row>
  </sheetData>
  <autoFilter ref="A1:K23" xr:uid="{00000000-0009-0000-0000-000000000000}"/>
  <customSheetViews>
    <customSheetView guid="{8BAC9A6B-5D32-4E8D-967D-E17D357516F8}" filter="1" showAutoFilter="1">
      <pageMargins left="0" right="0" top="0" bottom="0" header="0" footer="0"/>
      <autoFilter ref="A1:K15" xr:uid="{7F19DEE9-8866-4157-8C89-87399A746EDF}">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B136:K136"/>
    <mergeCell ref="B137:K137"/>
    <mergeCell ref="B92:K92"/>
    <mergeCell ref="A107:K107"/>
    <mergeCell ref="B108:K108"/>
    <mergeCell ref="B109:K109"/>
    <mergeCell ref="A121:K121"/>
    <mergeCell ref="B122:K122"/>
    <mergeCell ref="B123:K123"/>
    <mergeCell ref="B65:K65"/>
    <mergeCell ref="B66:K66"/>
    <mergeCell ref="A90:K90"/>
    <mergeCell ref="B91:K91"/>
    <mergeCell ref="A135:K135"/>
    <mergeCell ref="B26:K26"/>
    <mergeCell ref="A46:K46"/>
    <mergeCell ref="B47:K47"/>
    <mergeCell ref="B48:K48"/>
    <mergeCell ref="A64:K64"/>
    <mergeCell ref="A2:K2"/>
    <mergeCell ref="B3:K3"/>
    <mergeCell ref="B4:K4"/>
    <mergeCell ref="A24:K24"/>
    <mergeCell ref="B25:K25"/>
  </mergeCells>
  <phoneticPr fontId="14" type="noConversion"/>
  <conditionalFormatting sqref="B5:B22 B25:B44 B49:B62 B67:B88 B93:B105 B110:B119 B124:B133 B138:B147">
    <cfRule type="containsText" dxfId="10" priority="1" operator="containsText" text="Unplanned">
      <formula>NOT(ISERROR(SEARCH(("Unplanned"),(B5))))</formula>
    </cfRule>
    <cfRule type="containsText" dxfId="9" priority="2" operator="containsText" text="Planned">
      <formula>NOT(ISERROR(SEARCH(("Planned"),(B5))))</formula>
    </cfRule>
    <cfRule type="containsText" dxfId="8" priority="3" operator="containsText" text="In-Progress">
      <formula>NOT(ISERROR(SEARCH(("In-Progress"),(B5))))</formula>
    </cfRule>
    <cfRule type="containsText" dxfId="7" priority="4" operator="containsText" text="Blocked">
      <formula>NOT(ISERROR(SEARCH(("Blocked"),(B5))))</formula>
    </cfRule>
    <cfRule type="containsText" dxfId="6" priority="5" operator="containsText" text="Done">
      <formula>NOT(ISERROR(SEARCH(("Done"),(B5))))</formula>
    </cfRule>
  </conditionalFormatting>
  <conditionalFormatting sqref="B5:B23 B25:B45 B47:B63 B65:B89 B91:B106 B108:B120 B122:B134 B136:B147">
    <cfRule type="containsText" dxfId="5" priority="6" operator="containsText" text="Unplanned">
      <formula>NOT(ISERROR(SEARCH(("Unplanned"),(B5))))</formula>
    </cfRule>
    <cfRule type="containsText" dxfId="4" priority="7" operator="containsText" text="Cancelled">
      <formula>NOT(ISERROR(SEARCH(("Cancelled"),(B5))))</formula>
    </cfRule>
  </conditionalFormatting>
  <conditionalFormatting sqref="G1 G3:G23 G27:G45 G49:G63 G67:G89 G93:G106 G110:G120 G124:G134 G138:G150">
    <cfRule type="cellIs" dxfId="3" priority="10" operator="greaterThan">
      <formula>4</formula>
    </cfRule>
  </conditionalFormatting>
  <conditionalFormatting sqref="H1:H150">
    <cfRule type="containsBlanks" dxfId="2" priority="11">
      <formula>LEN(TRIM(H1))=0</formula>
    </cfRule>
  </conditionalFormatting>
  <conditionalFormatting sqref="I5:I23 I27:I45 I49:I63 I67:I89 I93:I106 I110:I120 I124:I134 I138:I150">
    <cfRule type="expression" dxfId="1" priority="8">
      <formula>H5/G5&gt;=1.5</formula>
    </cfRule>
    <cfRule type="expression" dxfId="0" priority="9">
      <formula>H5/G5&lt;=0.5</formula>
    </cfRule>
  </conditionalFormatting>
  <hyperlinks>
    <hyperlink ref="J13" r:id="rId1" xr:uid="{366CAEA0-1E1F-48DE-B397-C3231D273398}"/>
    <hyperlink ref="J12" r:id="rId2" xr:uid="{C9A74802-050B-484B-8F2F-340BCB9CC87F}"/>
    <hyperlink ref="J11" r:id="rId3" xr:uid="{7311D9F3-4723-4912-9CA5-BA44CF8AB3A6}"/>
    <hyperlink ref="J10" r:id="rId4" xr:uid="{BF84CF38-211F-4289-AFA5-7F8CD80911D0}"/>
    <hyperlink ref="J9" r:id="rId5" xr:uid="{15121BD5-AA73-40BF-B1DE-6B7B148EF9F8}"/>
    <hyperlink ref="J8" r:id="rId6" xr:uid="{269EFDFC-1B2B-48BC-B020-D654945368B8}"/>
    <hyperlink ref="J69" r:id="rId7" xr:uid="{09A80A7E-9C3B-4304-AAC7-C5919414FDB5}"/>
    <hyperlink ref="J70" r:id="rId8" xr:uid="{09BD4F3A-4161-4668-9153-F42323BC201F}"/>
    <hyperlink ref="J78" r:id="rId9" xr:uid="{59F10F60-E4D5-4AF3-8D3B-A8492FEE77C2}"/>
    <hyperlink ref="J83" r:id="rId10" xr:uid="{E9E505E8-C44D-48D6-9FE3-60D2C18C76E3}"/>
    <hyperlink ref="J14" r:id="rId11" xr:uid="{16D6B465-AC14-4DD2-A1B1-38A5F8EC1CD5}"/>
    <hyperlink ref="J17" r:id="rId12" xr:uid="{EE7377CF-6C5C-44C4-9D27-5A08E3DF3050}"/>
    <hyperlink ref="J16" r:id="rId13" xr:uid="{C83A05F0-2912-4A42-86B1-A55FA225D108}"/>
    <hyperlink ref="J18" r:id="rId14" xr:uid="{D920ACDB-3FFB-454E-9680-08EFDA90A63A}"/>
    <hyperlink ref="J27" r:id="rId15" xr:uid="{CA8FE111-C7E2-40D9-9367-16E5DDB9046F}"/>
    <hyperlink ref="J28" r:id="rId16" xr:uid="{6A18326A-011C-4755-8861-8444E6A762D6}"/>
    <hyperlink ref="J30" r:id="rId17" xr:uid="{97BE5FA7-B4D0-46FB-B1DC-539700DAF232}"/>
    <hyperlink ref="J32" r:id="rId18" xr:uid="{8D827DFD-8943-4E4C-B71D-BB626E9CC8A7}"/>
    <hyperlink ref="J34" r:id="rId19" xr:uid="{B0325E34-3861-4479-898A-D011865BFC5B}"/>
    <hyperlink ref="J35" r:id="rId20" xr:uid="{A58B08D9-B5A2-4247-9089-0B014F713F60}"/>
    <hyperlink ref="J37" r:id="rId21" xr:uid="{00BDAF64-7BD9-4E0F-BAFC-01F4FFAB9FEF}"/>
    <hyperlink ref="J49" r:id="rId22" xr:uid="{E471B7DD-D09C-42B5-83A2-FAA4EF077867}"/>
    <hyperlink ref="J52" r:id="rId23" xr:uid="{9881AA58-F668-49E9-A1A1-DF7B26CDBE8D}"/>
    <hyperlink ref="J54" r:id="rId24" xr:uid="{E5042F61-D401-42E2-A593-A2712CBA319E}"/>
    <hyperlink ref="J56" r:id="rId25" xr:uid="{7C4076FC-A9E4-4E40-99A0-78CF7B110023}"/>
    <hyperlink ref="J57" r:id="rId26" xr:uid="{469E1B13-4734-461C-B33E-FFDFEBC5080E}"/>
    <hyperlink ref="J58" r:id="rId27" xr:uid="{D173039F-6968-4AE3-AD69-33C14C7237A0}"/>
    <hyperlink ref="J59" r:id="rId28" xr:uid="{4DE5321C-93FD-402B-9FD0-C6ABE552B4B6}"/>
    <hyperlink ref="J62" r:id="rId29" xr:uid="{13F02218-2ECE-4016-9612-4974FA014836}"/>
    <hyperlink ref="J71" r:id="rId30" xr:uid="{525F87DD-9993-4CE0-9498-9F2E14BB414C}"/>
    <hyperlink ref="J67" r:id="rId31" xr:uid="{D0FD731B-9AE9-4D53-8F2B-B263627943F3}"/>
    <hyperlink ref="J68" r:id="rId32" xr:uid="{11CE989A-21B3-4E9E-A41D-706E19C5655B}"/>
    <hyperlink ref="J73" r:id="rId33" xr:uid="{2E3B5831-244B-40DB-9B18-C7BCC961C2D5}"/>
    <hyperlink ref="J74" r:id="rId34" xr:uid="{3B2A9127-08C7-4EF2-B51D-45D24AD6A7E1}"/>
    <hyperlink ref="J75" r:id="rId35" xr:uid="{B470B856-E833-4A06-ACB9-16B4832BCDA9}"/>
    <hyperlink ref="J79" r:id="rId36" xr:uid="{1102F677-3AED-4960-8676-210C459082B9}"/>
    <hyperlink ref="J82" r:id="rId37" xr:uid="{1B1432AD-D2BC-4146-896E-0E4CBD156F98}"/>
    <hyperlink ref="J84" r:id="rId38" xr:uid="{B0131C75-C6C9-4180-B115-A765CE82719E}"/>
    <hyperlink ref="J85" r:id="rId39" xr:uid="{0D6D03FD-6266-4A9F-81F5-0627BB302A63}"/>
    <hyperlink ref="J86" r:id="rId40" xr:uid="{A950F280-0A5A-4401-B337-84FF14C7038B}"/>
    <hyperlink ref="J93" r:id="rId41" xr:uid="{B00E44DB-1F73-472A-AF8C-3E03937AB049}"/>
    <hyperlink ref="J94" r:id="rId42" xr:uid="{491DF932-B1F9-4ADD-84E0-1F4525F69AC0}"/>
    <hyperlink ref="J95" r:id="rId43" xr:uid="{FD17A3F3-23C1-4CFE-BBC2-D315C2B136DB}"/>
    <hyperlink ref="J99" r:id="rId44" xr:uid="{AACDF287-5D79-4584-8F37-0E5E5AE80504}"/>
    <hyperlink ref="J102" r:id="rId45" xr:uid="{71512EA6-BFFE-47F7-81AD-F10BA777ECCA}"/>
    <hyperlink ref="J104" r:id="rId46" xr:uid="{4A5AABDC-E482-4AAA-8961-54BF2E7DEA7C}"/>
    <hyperlink ref="J111" r:id="rId47" xr:uid="{EC786AB7-F24E-44FF-B164-1ECC4B9C6616}"/>
    <hyperlink ref="J113" r:id="rId48" xr:uid="{7A60DA9D-51C9-4B54-840C-58C376B61455}"/>
    <hyperlink ref="J114" r:id="rId49" xr:uid="{2B84A2A6-450F-406A-A526-780862D607A1}"/>
    <hyperlink ref="J117" r:id="rId50" xr:uid="{7DFF76DD-408F-4F1B-9761-D4E47B0D2126}"/>
    <hyperlink ref="J118" r:id="rId51" xr:uid="{97ACDDB6-6FBC-4B4B-9702-5B107D590635}"/>
    <hyperlink ref="J126" r:id="rId52" xr:uid="{5BAB25B8-4DD4-4D16-AD91-E37912E147EA}"/>
    <hyperlink ref="J127" r:id="rId53" xr:uid="{24490C24-5141-4EFC-BE40-790542AA5FED}"/>
    <hyperlink ref="J128" r:id="rId54" xr:uid="{F84993A1-F9CC-4EEC-BFF5-F87B64ECA901}"/>
  </hyperlinks>
  <pageMargins left="0.7" right="0.7" top="0.75" bottom="0.75" header="0.3" footer="0.3"/>
  <pageSetup paperSize="9" scale="52" fitToHeight="0" orientation="landscape" horizontalDpi="0" verticalDpi="0"/>
  <extLst>
    <ext xmlns:x14="http://schemas.microsoft.com/office/spreadsheetml/2009/9/main" uri="{CCE6A557-97BC-4b89-ADB6-D9C93CAAB3DF}">
      <x14:dataValidations xmlns:xm="http://schemas.microsoft.com/office/excel/2006/main" count="3">
        <x14:dataValidation type="list" allowBlank="1" xr:uid="{00000000-0002-0000-0000-000001000000}">
          <x14:formula1>
            <xm:f>'Drop-downs'!$B$2:$B$16</xm:f>
          </x14:formula1>
          <xm:sqref>E13:E22 E27:E44 E67:E88 E49:E62 E110:E119 E124:E133 E138:E147 E5:E11 E93:E103 E105</xm:sqref>
        </x14:dataValidation>
        <x14:dataValidation type="list" allowBlank="1" xr:uid="{00000000-0002-0000-0000-000002000000}">
          <x14:formula1>
            <xm:f>'Drop-downs'!$A$2:$A$9</xm:f>
          </x14:formula1>
          <xm:sqref>B11:B22 B27:B44 B67:B88 B49:B62 B110:B119 B124:B133 B138:B147 B5:B9 B93:B105</xm:sqref>
        </x14:dataValidation>
        <x14:dataValidation type="list" allowBlank="1" xr:uid="{022AB9B7-3090-420D-A92F-6C31608AE4FF}">
          <x14:formula1>
            <xm:f>'Drop-downs'!$C$2:$C$9</xm:f>
          </x14:formula1>
          <xm:sqref>F5:F22 F138:F147 F27:F44 F67:F88 F49:F62 F110:F119 F124:F133 F93:F105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1"/>
  <sheetViews>
    <sheetView workbookViewId="0">
      <selection activeCell="D4" sqref="D4"/>
    </sheetView>
  </sheetViews>
  <sheetFormatPr defaultColWidth="14.44140625" defaultRowHeight="15" customHeight="1" x14ac:dyDescent="0.25"/>
  <cols>
    <col min="2" max="2" width="27" customWidth="1"/>
    <col min="11" max="11" width="20.44140625" customWidth="1"/>
  </cols>
  <sheetData>
    <row r="2" spans="2:11" ht="13.8" x14ac:dyDescent="0.3">
      <c r="B2" s="17" t="s">
        <v>29</v>
      </c>
      <c r="C2" s="2" t="s">
        <v>30</v>
      </c>
      <c r="D2" s="2" t="s">
        <v>31</v>
      </c>
      <c r="E2" s="2" t="s">
        <v>32</v>
      </c>
      <c r="F2" s="2" t="s">
        <v>33</v>
      </c>
      <c r="G2" s="2" t="s">
        <v>34</v>
      </c>
      <c r="H2" s="2" t="s">
        <v>35</v>
      </c>
      <c r="I2" s="2" t="s">
        <v>36</v>
      </c>
      <c r="J2" s="2" t="s">
        <v>37</v>
      </c>
      <c r="K2" s="4" t="s">
        <v>38</v>
      </c>
    </row>
    <row r="3" spans="2:11" ht="13.8" x14ac:dyDescent="0.3">
      <c r="B3" s="6" t="str">
        <f>'Drop-downs'!C2</f>
        <v>-</v>
      </c>
      <c r="C3" s="8"/>
      <c r="D3" s="8"/>
      <c r="E3" s="8"/>
      <c r="F3" s="8"/>
      <c r="G3" s="8"/>
      <c r="H3" s="8"/>
      <c r="I3" s="8"/>
      <c r="J3" s="8"/>
      <c r="K3" s="9">
        <f t="shared" ref="K3:K10" si="0">SUM(C3:J3)</f>
        <v>0</v>
      </c>
    </row>
    <row r="4" spans="2:11" ht="13.8" x14ac:dyDescent="0.3">
      <c r="B4" s="6" t="str">
        <f>'Drop-downs'!C3</f>
        <v>ILO 0.1</v>
      </c>
      <c r="C4" s="15" cm="1">
        <f t="array" ref="C4">IFERROR(SUM(_xlfn._xlws.FILTER('Worklog_Tasks&amp;Times'!$H$5:$H$22,'Worklog_Tasks&amp;Times'!$F$5:$F$22=$B4)),0)</f>
        <v>10.5</v>
      </c>
      <c r="D4" s="15" cm="1">
        <f t="array" ref="D4">IFERROR(SUM(_xlfn._xlws.FILTER('Worklog_Tasks&amp;Times'!$H$27:$H$44,'Worklog_Tasks&amp;Times'!$F$27:$F$44=$B4)),0)</f>
        <v>7</v>
      </c>
      <c r="E4" s="15" cm="1">
        <f t="array" ref="E4">IFERROR(SUM(_xlfn._xlws.FILTER('Worklog_Tasks&amp;Times'!$H$49:$H$62,'Worklog_Tasks&amp;Times'!$F$49:$F$62=$B4)),0)</f>
        <v>8</v>
      </c>
      <c r="F4" s="15" cm="1">
        <f t="array" ref="F4">IFERROR(SUM(_xlfn._xlws.FILTER('Worklog_Tasks&amp;Times'!$H$67:$H$88,'Worklog_Tasks&amp;Times'!$F$67:$F$88=$B4)),0)</f>
        <v>8</v>
      </c>
      <c r="G4" s="15" cm="1">
        <f t="array" ref="G4">IFERROR(SUM(_xlfn._xlws.FILTER('Worklog_Tasks&amp;Times'!$H$93:$H$105,'Worklog_Tasks&amp;Times'!$F$93:$F$105=$B4)),0)</f>
        <v>12</v>
      </c>
      <c r="H4" s="15" cm="1">
        <f t="array" ref="H4">IFERROR(SUM(_xlfn._xlws.FILTER('Worklog_Tasks&amp;Times'!$H$110:$H$119,'Worklog_Tasks&amp;Times'!$F$110:$F$119=$B4)),0)</f>
        <v>6</v>
      </c>
      <c r="I4" s="15" cm="1">
        <f t="array" ref="I4">IFERROR(SUM(_xlfn._xlws.FILTER('Worklog_Tasks&amp;Times'!$H$124:$H$133,'Worklog_Tasks&amp;Times'!$F$124:$F$133=$B4)),0)</f>
        <v>22</v>
      </c>
      <c r="J4" s="15" cm="1">
        <f t="array" ref="J4">IFERROR(SUM(_xlfn._xlws.FILTER('Worklog_Tasks&amp;Times'!$H$138:$H$147,'Worklog_Tasks&amp;Times'!$F$138:$F$147=$B4)),0)</f>
        <v>0</v>
      </c>
      <c r="K4" s="9">
        <f t="shared" si="0"/>
        <v>73.5</v>
      </c>
    </row>
    <row r="5" spans="2:11" ht="13.8" x14ac:dyDescent="0.3">
      <c r="B5" s="6" t="str">
        <f>'Drop-downs'!C4</f>
        <v>ILO 0.2</v>
      </c>
      <c r="C5" s="15" cm="1">
        <f t="array" ref="C5">IFERROR(SUM(_xlfn._xlws.FILTER('Worklog_Tasks&amp;Times'!$H$5:$H$22,'Worklog_Tasks&amp;Times'!$F$5:$F$22=$B5)),0)</f>
        <v>0</v>
      </c>
      <c r="D5" s="15" cm="1">
        <f t="array" ref="D5">IFERROR(SUM(_xlfn._xlws.FILTER('Worklog_Tasks&amp;Times'!$H$27:$H$44,'Worklog_Tasks&amp;Times'!$F$27:$F$44=$B5)),0)</f>
        <v>2</v>
      </c>
      <c r="E5" s="15" cm="1">
        <f t="array" ref="E5">IFERROR(SUM(_xlfn._xlws.FILTER('Worklog_Tasks&amp;Times'!$H$49:$H$62,'Worklog_Tasks&amp;Times'!$F$49:$F$62=$B5)),0)</f>
        <v>2</v>
      </c>
      <c r="F5" s="15" cm="1">
        <f t="array" ref="F5">IFERROR(SUM(_xlfn._xlws.FILTER('Worklog_Tasks&amp;Times'!$H$67:$H$88,'Worklog_Tasks&amp;Times'!$F$67:$F$88=$B5)),0)</f>
        <v>1.5</v>
      </c>
      <c r="G5" s="15" cm="1">
        <f t="array" ref="G5">IFERROR(SUM(_xlfn._xlws.FILTER('Worklog_Tasks&amp;Times'!$H$93:$H$105,'Worklog_Tasks&amp;Times'!$F$93:$F$105=$B5)),0)</f>
        <v>5.5</v>
      </c>
      <c r="H5" s="15" cm="1">
        <f t="array" ref="H5">IFERROR(SUM(_xlfn._xlws.FILTER('Worklog_Tasks&amp;Times'!$H$110:$H$119,'Worklog_Tasks&amp;Times'!$F$110:$F$119=$B5)),0)</f>
        <v>13.5</v>
      </c>
      <c r="I5" s="15" cm="1">
        <f t="array" ref="I5">IFERROR(SUM(_xlfn._xlws.FILTER('Worklog_Tasks&amp;Times'!$H$124:$H$133,'Worklog_Tasks&amp;Times'!$F$124:$F$133=$B5)),0)</f>
        <v>0</v>
      </c>
      <c r="J5" s="15" cm="1">
        <f t="array" ref="J5">IFERROR(SUM(_xlfn._xlws.FILTER('Worklog_Tasks&amp;Times'!$H$138:$H$147,'Worklog_Tasks&amp;Times'!$F$138:$F$147=$B5)),0)</f>
        <v>0</v>
      </c>
      <c r="K5" s="9">
        <f t="shared" si="0"/>
        <v>24.5</v>
      </c>
    </row>
    <row r="6" spans="2:11" ht="13.8" x14ac:dyDescent="0.3">
      <c r="B6" s="6" t="str">
        <f>'Drop-downs'!C5</f>
        <v>ILO 1.1</v>
      </c>
      <c r="C6" s="15" cm="1">
        <f t="array" ref="C6">IFERROR(SUM(_xlfn._xlws.FILTER('Worklog_Tasks&amp;Times'!$H$5:$H$22,'Worklog_Tasks&amp;Times'!$F$5:$F$22=$B6)),0)</f>
        <v>0</v>
      </c>
      <c r="D6" s="15" cm="1">
        <f t="array" ref="D6">IFERROR(SUM(_xlfn._xlws.FILTER('Worklog_Tasks&amp;Times'!$H$27:$H$44,'Worklog_Tasks&amp;Times'!$F$27:$F$44=$B6)),0)</f>
        <v>0</v>
      </c>
      <c r="E6" s="15" cm="1">
        <f t="array" ref="E6">IFERROR(SUM(_xlfn._xlws.FILTER('Worklog_Tasks&amp;Times'!$H$49:$H$62,'Worklog_Tasks&amp;Times'!$F$49:$F$62=$B6)),0)</f>
        <v>0</v>
      </c>
      <c r="F6" s="15" cm="1">
        <f t="array" ref="F6">IFERROR(SUM(_xlfn._xlws.FILTER('Worklog_Tasks&amp;Times'!$H$67:$H$88,'Worklog_Tasks&amp;Times'!$F$67:$F$88=$B6)),0)</f>
        <v>0</v>
      </c>
      <c r="G6" s="15" cm="1">
        <f t="array" ref="G6">IFERROR(SUM(_xlfn._xlws.FILTER('Worklog_Tasks&amp;Times'!$H$93:$H$105,'Worklog_Tasks&amp;Times'!$F$93:$F$105=$B6)),0)</f>
        <v>0</v>
      </c>
      <c r="H6" s="15" cm="1">
        <f t="array" ref="H6">IFERROR(SUM(_xlfn._xlws.FILTER('Worklog_Tasks&amp;Times'!$H$110:$H$119,'Worklog_Tasks&amp;Times'!$F$110:$F$119=$B6)),0)</f>
        <v>0</v>
      </c>
      <c r="I6" s="15" cm="1">
        <f t="array" ref="I6">IFERROR(SUM(_xlfn._xlws.FILTER('Worklog_Tasks&amp;Times'!$H$124:$H$133,'Worklog_Tasks&amp;Times'!$F$124:$F$133=$B6)),0)</f>
        <v>0</v>
      </c>
      <c r="J6" s="15" cm="1">
        <f t="array" ref="J6">IFERROR(SUM(_xlfn._xlws.FILTER('Worklog_Tasks&amp;Times'!$H$138:$H$147,'Worklog_Tasks&amp;Times'!$F$138:$F$147=$B6)),0)</f>
        <v>0</v>
      </c>
      <c r="K6" s="9">
        <f t="shared" si="0"/>
        <v>0</v>
      </c>
    </row>
    <row r="7" spans="2:11" ht="13.8" x14ac:dyDescent="0.3">
      <c r="B7" s="6" t="str">
        <f>'Drop-downs'!C6</f>
        <v>ILO 2.1</v>
      </c>
      <c r="C7" s="15" cm="1">
        <f t="array" ref="C7">IFERROR(SUM(_xlfn._xlws.FILTER('Worklog_Tasks&amp;Times'!$H$5:$H$22,'Worklog_Tasks&amp;Times'!$F$5:$F$22=$B7)),0)</f>
        <v>0</v>
      </c>
      <c r="D7" s="15" cm="1">
        <f t="array" ref="D7">IFERROR(SUM(_xlfn._xlws.FILTER('Worklog_Tasks&amp;Times'!$H$27:$H$44,'Worklog_Tasks&amp;Times'!$F$27:$F$44=$B7)),0)</f>
        <v>0</v>
      </c>
      <c r="E7" s="15" cm="1">
        <f t="array" ref="E7">IFERROR(SUM(_xlfn._xlws.FILTER('Worklog_Tasks&amp;Times'!$H$49:$H$62,'Worklog_Tasks&amp;Times'!$F$49:$F$62=$B7)),0)</f>
        <v>0</v>
      </c>
      <c r="F7" s="15" cm="1">
        <f t="array" ref="F7">IFERROR(SUM(_xlfn._xlws.FILTER('Worklog_Tasks&amp;Times'!$H$67:$H$88,'Worklog_Tasks&amp;Times'!$F$67:$F$88=$B7)),0)</f>
        <v>0</v>
      </c>
      <c r="G7" s="15" cm="1">
        <f t="array" ref="G7">IFERROR(SUM(_xlfn._xlws.FILTER('Worklog_Tasks&amp;Times'!$H$93:$H$105,'Worklog_Tasks&amp;Times'!$F$93:$F$105=$B7)),0)</f>
        <v>0</v>
      </c>
      <c r="H7" s="15" cm="1">
        <f t="array" ref="H7">IFERROR(SUM(_xlfn._xlws.FILTER('Worklog_Tasks&amp;Times'!$H$110:$H$119,'Worklog_Tasks&amp;Times'!$F$110:$F$119=$B7)),0)</f>
        <v>0</v>
      </c>
      <c r="I7" s="15" cm="1">
        <f t="array" ref="I7">IFERROR(SUM(_xlfn._xlws.FILTER('Worklog_Tasks&amp;Times'!$H$124:$H$133,'Worklog_Tasks&amp;Times'!$F$124:$F$133=$B7)),0)</f>
        <v>0</v>
      </c>
      <c r="J7" s="15" cm="1">
        <f t="array" ref="J7">IFERROR(SUM(_xlfn._xlws.FILTER('Worklog_Tasks&amp;Times'!$H$138:$H$147,'Worklog_Tasks&amp;Times'!$F$138:$F$147=$B7)),0)</f>
        <v>0</v>
      </c>
      <c r="K7" s="9">
        <f t="shared" si="0"/>
        <v>0</v>
      </c>
    </row>
    <row r="8" spans="2:11" ht="13.8" x14ac:dyDescent="0.3">
      <c r="B8" s="6" t="str">
        <f>'Drop-downs'!C7</f>
        <v>ILO 3.1</v>
      </c>
      <c r="C8" s="15" cm="1">
        <f t="array" ref="C8">IFERROR(SUM(_xlfn._xlws.FILTER('Worklog_Tasks&amp;Times'!$H$5:$H$22,'Worklog_Tasks&amp;Times'!$F$5:$F$22=$B8)),0)</f>
        <v>22.25</v>
      </c>
      <c r="D8" s="15" cm="1">
        <f t="array" ref="D8">IFERROR(SUM(_xlfn._xlws.FILTER('Worklog_Tasks&amp;Times'!$H$27:$H$44,'Worklog_Tasks&amp;Times'!$F$27:$F$44=$B8)),0)</f>
        <v>23</v>
      </c>
      <c r="E8" s="15" cm="1">
        <f t="array" ref="E8">IFERROR(SUM(_xlfn._xlws.FILTER('Worklog_Tasks&amp;Times'!$H$49:$H$62,'Worklog_Tasks&amp;Times'!$F$49:$F$62=$B8)),0)</f>
        <v>18.5</v>
      </c>
      <c r="F8" s="15" cm="1">
        <f t="array" ref="F8">IFERROR(SUM(_xlfn._xlws.FILTER('Worklog_Tasks&amp;Times'!$H$67:$H$88,'Worklog_Tasks&amp;Times'!$F$67:$F$88=$B8)),0)</f>
        <v>12.5</v>
      </c>
      <c r="G8" s="15" cm="1">
        <f t="array" ref="G8">IFERROR(SUM(_xlfn._xlws.FILTER('Worklog_Tasks&amp;Times'!$H$93:$H$105,'Worklog_Tasks&amp;Times'!$F$93:$F$105=$B8)),0)</f>
        <v>7</v>
      </c>
      <c r="H8" s="15" cm="1">
        <f t="array" ref="H8">IFERROR(SUM(_xlfn._xlws.FILTER('Worklog_Tasks&amp;Times'!$H$110:$H$119,'Worklog_Tasks&amp;Times'!$F$110:$F$119=$B8)),0)</f>
        <v>5</v>
      </c>
      <c r="I8" s="15" cm="1">
        <f t="array" ref="I8">IFERROR(SUM(_xlfn._xlws.FILTER('Worklog_Tasks&amp;Times'!$H$124:$H$133,'Worklog_Tasks&amp;Times'!$F$124:$F$133=$B8)),0)</f>
        <v>4</v>
      </c>
      <c r="J8" s="15" cm="1">
        <f t="array" ref="J8">IFERROR(SUM(_xlfn._xlws.FILTER('Worklog_Tasks&amp;Times'!$H$138:$H$147,'Worklog_Tasks&amp;Times'!$F$138:$F$147=$B8)),0)</f>
        <v>8</v>
      </c>
      <c r="K8" s="9">
        <f>SUM(C8:J8)</f>
        <v>100.25</v>
      </c>
    </row>
    <row r="9" spans="2:11" ht="13.8" x14ac:dyDescent="0.3">
      <c r="B9" s="6" t="str">
        <f>'Drop-downs'!C8</f>
        <v>ILO 7.1</v>
      </c>
      <c r="C9" s="15" cm="1">
        <f t="array" ref="C9">IFERROR(SUM(_xlfn._xlws.FILTER('Worklog_Tasks&amp;Times'!$H$5:$H$22,'Worklog_Tasks&amp;Times'!$F$5:$F$22=$B9)),0)</f>
        <v>0</v>
      </c>
      <c r="D9" s="15" cm="1">
        <f t="array" ref="D9">IFERROR(SUM(_xlfn._xlws.FILTER('Worklog_Tasks&amp;Times'!$H$27:$H$44,'Worklog_Tasks&amp;Times'!$F$27:$F$44=$B9)),0)</f>
        <v>0</v>
      </c>
      <c r="E9" s="15" cm="1">
        <f t="array" ref="E9">IFERROR(SUM(_xlfn._xlws.FILTER('Worklog_Tasks&amp;Times'!$H$49:$H$62,'Worklog_Tasks&amp;Times'!$F$49:$F$62=$B9)),0)</f>
        <v>0</v>
      </c>
      <c r="F9" s="15" cm="1">
        <f t="array" ref="F9">IFERROR(SUM(_xlfn._xlws.FILTER('Worklog_Tasks&amp;Times'!$H$67:$H$88,'Worklog_Tasks&amp;Times'!$F$67:$F$88=$B9)),0)</f>
        <v>16.2</v>
      </c>
      <c r="G9" s="15" cm="1">
        <f t="array" ref="G9">IFERROR(SUM(_xlfn._xlws.FILTER('Worklog_Tasks&amp;Times'!$H$93:$H$105,'Worklog_Tasks&amp;Times'!$F$93:$F$105=$B9)),0)</f>
        <v>8</v>
      </c>
      <c r="H9" s="15" cm="1">
        <f t="array" ref="H9">IFERROR(SUM(_xlfn._xlws.FILTER('Worklog_Tasks&amp;Times'!$H$110:$H$119,'Worklog_Tasks&amp;Times'!$F$110:$F$119=$B9)),0)</f>
        <v>0</v>
      </c>
      <c r="I9" s="15" cm="1">
        <f t="array" ref="I9">IFERROR(SUM(_xlfn._xlws.FILTER('Worklog_Tasks&amp;Times'!$H$124:$H$133,'Worklog_Tasks&amp;Times'!$F$124:$F$133=$B9)),0)</f>
        <v>3</v>
      </c>
      <c r="J9" s="15" cm="1">
        <f t="array" ref="J9">IFERROR(SUM(_xlfn._xlws.FILTER('Worklog_Tasks&amp;Times'!$H$138:$H$147,'Worklog_Tasks&amp;Times'!$F$138:$F$147=$B9)),0)</f>
        <v>10</v>
      </c>
      <c r="K9" s="9">
        <f t="shared" si="0"/>
        <v>37.200000000000003</v>
      </c>
    </row>
    <row r="10" spans="2:11" ht="13.8" x14ac:dyDescent="0.3">
      <c r="B10" s="6" t="str">
        <f>'Drop-downs'!C9</f>
        <v>ILO 10.1</v>
      </c>
      <c r="C10" s="15" cm="1">
        <f t="array" ref="C10">IFERROR(SUM(_xlfn._xlws.FILTER('Worklog_Tasks&amp;Times'!$H$5:$H$22,'Worklog_Tasks&amp;Times'!$F$5:$F$22=$B10)),0)</f>
        <v>0</v>
      </c>
      <c r="D10" s="15" cm="1">
        <f t="array" ref="D10">IFERROR(SUM(_xlfn._xlws.FILTER('Worklog_Tasks&amp;Times'!$H$27:$H$44,'Worklog_Tasks&amp;Times'!$F$27:$F$44=$B10)),0)</f>
        <v>0</v>
      </c>
      <c r="E10" s="15" cm="1">
        <f t="array" ref="E10">IFERROR(SUM(_xlfn._xlws.FILTER('Worklog_Tasks&amp;Times'!$H$49:$H$62,'Worklog_Tasks&amp;Times'!$F$49:$F$62=$B10)),0)</f>
        <v>0</v>
      </c>
      <c r="F10" s="15" cm="1">
        <f t="array" ref="F10">IFERROR(SUM(_xlfn._xlws.FILTER('Worklog_Tasks&amp;Times'!$H$67:$H$88,'Worklog_Tasks&amp;Times'!$F$67:$F$88=$B10)),0)</f>
        <v>2</v>
      </c>
      <c r="G10" s="15" cm="1">
        <f t="array" ref="G10">IFERROR(SUM(_xlfn._xlws.FILTER('Worklog_Tasks&amp;Times'!$H$93:$H$105,'Worklog_Tasks&amp;Times'!$F$93:$F$105=$B10)),0)</f>
        <v>4</v>
      </c>
      <c r="H10" s="15" cm="1">
        <f t="array" ref="H10">IFERROR(SUM(_xlfn._xlws.FILTER('Worklog_Tasks&amp;Times'!$H$110:$H$119,'Worklog_Tasks&amp;Times'!$F$110:$F$119=$B10)),0)</f>
        <v>4</v>
      </c>
      <c r="I10" s="15" cm="1">
        <f t="array" ref="I10">IFERROR(SUM(_xlfn._xlws.FILTER('Worklog_Tasks&amp;Times'!$H$124:$H$133,'Worklog_Tasks&amp;Times'!$F$124:$F$133=$B10)),0)</f>
        <v>0</v>
      </c>
      <c r="J10" s="15" cm="1">
        <f t="array" ref="J10">IFERROR(SUM(_xlfn._xlws.FILTER('Worklog_Tasks&amp;Times'!$H$138:$H$147,'Worklog_Tasks&amp;Times'!$F$138:$F$147=$B10)),0)</f>
        <v>10</v>
      </c>
      <c r="K10" s="9">
        <f t="shared" si="0"/>
        <v>20</v>
      </c>
    </row>
    <row r="11" spans="2:11" ht="13.8" x14ac:dyDescent="0.3">
      <c r="B11" s="17" t="s">
        <v>39</v>
      </c>
      <c r="C11" s="18">
        <f>SUM(C3:C10)</f>
        <v>32.75</v>
      </c>
      <c r="D11" s="18">
        <f t="shared" ref="D11:J11" si="1">SUM(D3:D10)</f>
        <v>32</v>
      </c>
      <c r="E11" s="18">
        <f t="shared" si="1"/>
        <v>28.5</v>
      </c>
      <c r="F11" s="18">
        <f t="shared" si="1"/>
        <v>40.200000000000003</v>
      </c>
      <c r="G11" s="18">
        <f t="shared" si="1"/>
        <v>36.5</v>
      </c>
      <c r="H11" s="18">
        <f t="shared" si="1"/>
        <v>28.5</v>
      </c>
      <c r="I11" s="18">
        <f t="shared" si="1"/>
        <v>29</v>
      </c>
      <c r="J11" s="18">
        <f t="shared" si="1"/>
        <v>28</v>
      </c>
      <c r="K11" s="20"/>
    </row>
    <row r="12" spans="2:11" ht="13.8" x14ac:dyDescent="0.3">
      <c r="B12" s="22"/>
      <c r="C12" s="23"/>
      <c r="D12" s="23"/>
      <c r="E12" s="23"/>
      <c r="F12" s="23"/>
      <c r="G12" s="23"/>
      <c r="H12" s="23"/>
      <c r="I12" s="23"/>
      <c r="J12" s="23"/>
      <c r="K12" s="23"/>
    </row>
    <row r="13" spans="2:11" ht="15" customHeight="1" x14ac:dyDescent="0.25">
      <c r="B13" s="72" t="s">
        <v>40</v>
      </c>
      <c r="C13" s="73"/>
      <c r="D13" s="73"/>
      <c r="E13" s="73"/>
      <c r="F13" s="73"/>
      <c r="G13" s="73"/>
      <c r="H13" s="73"/>
      <c r="I13" s="73"/>
      <c r="J13" s="73"/>
      <c r="K13" s="73"/>
    </row>
    <row r="17" spans="2:6" ht="15" customHeight="1" x14ac:dyDescent="0.25">
      <c r="B17" s="71" t="s">
        <v>69</v>
      </c>
      <c r="C17" s="71"/>
      <c r="D17" s="71"/>
      <c r="E17" s="71"/>
      <c r="F17" s="71"/>
    </row>
    <row r="18" spans="2:6" ht="15" customHeight="1" x14ac:dyDescent="0.25">
      <c r="B18" s="71"/>
      <c r="C18" s="71"/>
      <c r="D18" s="71"/>
      <c r="E18" s="71"/>
      <c r="F18" s="71"/>
    </row>
    <row r="19" spans="2:6" ht="15" customHeight="1" x14ac:dyDescent="0.25">
      <c r="B19" s="71"/>
      <c r="C19" s="71"/>
      <c r="D19" s="71"/>
      <c r="E19" s="71"/>
      <c r="F19" s="71"/>
    </row>
    <row r="20" spans="2:6" ht="15" customHeight="1" x14ac:dyDescent="0.25">
      <c r="B20" s="71"/>
      <c r="C20" s="71"/>
      <c r="D20" s="71"/>
      <c r="E20" s="71"/>
      <c r="F20" s="71"/>
    </row>
    <row r="21" spans="2:6" ht="15" customHeight="1" x14ac:dyDescent="0.25">
      <c r="B21" s="71"/>
      <c r="C21" s="71"/>
      <c r="D21" s="71"/>
      <c r="E21" s="71"/>
      <c r="F21" s="71"/>
    </row>
  </sheetData>
  <mergeCells count="2">
    <mergeCell ref="B17:F21"/>
    <mergeCell ref="B13:K13"/>
  </mergeCells>
  <conditionalFormatting sqref="C11:J11">
    <cfRule type="colorScale" priority="1">
      <colorScale>
        <cfvo type="formula" val="20"/>
        <cfvo type="formula" val="40"/>
        <color rgb="FFE67C73"/>
        <color rgb="FF57BB8A"/>
      </colorScale>
    </cfRule>
  </conditionalFormatting>
  <pageMargins left="0.7" right="0.7" top="0.75" bottom="0.75" header="0.3" footer="0.3"/>
  <ignoredErrors>
    <ignoredError sqref="D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10" sqref="C10"/>
    </sheetView>
  </sheetViews>
  <sheetFormatPr defaultColWidth="14.44140625" defaultRowHeight="15" customHeight="1" x14ac:dyDescent="0.25"/>
  <cols>
    <col min="1" max="6" width="14.44140625" customWidth="1"/>
  </cols>
  <sheetData>
    <row r="1" spans="1:3" ht="15.75" customHeight="1" x14ac:dyDescent="0.25">
      <c r="A1" s="1" t="s">
        <v>41</v>
      </c>
      <c r="B1" s="1" t="s">
        <v>4</v>
      </c>
      <c r="C1" s="1" t="s">
        <v>42</v>
      </c>
    </row>
    <row r="2" spans="1:3" ht="15.75" customHeight="1" x14ac:dyDescent="0.25">
      <c r="A2" t="s">
        <v>43</v>
      </c>
      <c r="B2" t="s">
        <v>43</v>
      </c>
      <c r="C2" s="11" t="s">
        <v>43</v>
      </c>
    </row>
    <row r="3" spans="1:3" ht="15.75" customHeight="1" x14ac:dyDescent="0.25">
      <c r="A3" t="s">
        <v>44</v>
      </c>
      <c r="B3" t="s">
        <v>45</v>
      </c>
      <c r="C3" s="11" t="s">
        <v>46</v>
      </c>
    </row>
    <row r="4" spans="1:3" ht="15.75" customHeight="1" x14ac:dyDescent="0.25">
      <c r="A4" t="s">
        <v>47</v>
      </c>
      <c r="B4" t="s">
        <v>48</v>
      </c>
      <c r="C4" s="11" t="s">
        <v>17</v>
      </c>
    </row>
    <row r="5" spans="1:3" ht="15.75" customHeight="1" x14ac:dyDescent="0.25">
      <c r="A5" t="s">
        <v>49</v>
      </c>
      <c r="B5" t="s">
        <v>50</v>
      </c>
      <c r="C5" s="11" t="s">
        <v>51</v>
      </c>
    </row>
    <row r="6" spans="1:3" ht="15.75" customHeight="1" x14ac:dyDescent="0.25">
      <c r="A6" t="s">
        <v>52</v>
      </c>
      <c r="B6" t="s">
        <v>53</v>
      </c>
      <c r="C6" s="11" t="s">
        <v>54</v>
      </c>
    </row>
    <row r="7" spans="1:3" ht="15.75" customHeight="1" x14ac:dyDescent="0.25">
      <c r="A7" t="s">
        <v>55</v>
      </c>
      <c r="B7" t="s">
        <v>56</v>
      </c>
      <c r="C7" s="11" t="s">
        <v>57</v>
      </c>
    </row>
    <row r="8" spans="1:3" ht="15.75" customHeight="1" x14ac:dyDescent="0.25">
      <c r="A8" t="s">
        <v>58</v>
      </c>
      <c r="B8" t="s">
        <v>59</v>
      </c>
      <c r="C8" s="11" t="s">
        <v>18</v>
      </c>
    </row>
    <row r="9" spans="1:3" ht="15.75" customHeight="1" x14ac:dyDescent="0.25">
      <c r="A9" t="s">
        <v>60</v>
      </c>
      <c r="B9" s="11" t="s">
        <v>61</v>
      </c>
      <c r="C9" s="11" t="s">
        <v>62</v>
      </c>
    </row>
    <row r="10" spans="1:3" ht="15.75" customHeight="1" x14ac:dyDescent="0.25">
      <c r="B10" s="11" t="s">
        <v>63</v>
      </c>
    </row>
    <row r="11" spans="1:3" ht="15.75" customHeight="1" x14ac:dyDescent="0.25">
      <c r="B11" s="11" t="s">
        <v>64</v>
      </c>
    </row>
    <row r="12" spans="1:3" ht="15.75" customHeight="1" x14ac:dyDescent="0.25">
      <c r="B12" s="11" t="s">
        <v>65</v>
      </c>
    </row>
    <row r="13" spans="1:3" ht="15.75" customHeight="1" x14ac:dyDescent="0.25">
      <c r="B13" s="11" t="s">
        <v>66</v>
      </c>
    </row>
    <row r="14" spans="1:3" ht="15.75" customHeight="1" x14ac:dyDescent="0.25">
      <c r="B14" s="11" t="s">
        <v>47</v>
      </c>
    </row>
    <row r="15" spans="1:3" ht="15.75" customHeight="1" x14ac:dyDescent="0.25">
      <c r="B15" s="11" t="s">
        <v>67</v>
      </c>
    </row>
    <row r="16" spans="1:3" ht="15.75" customHeight="1" x14ac:dyDescent="0.25">
      <c r="B16" s="11" t="s">
        <v>68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F1D0BBA052B643B5E1D03A2914D54F" ma:contentTypeVersion="14" ma:contentTypeDescription="Create a new document." ma:contentTypeScope="" ma:versionID="ea5a057e31cbcfa8f273e915120d95ab">
  <xsd:schema xmlns:xsd="http://www.w3.org/2001/XMLSchema" xmlns:xs="http://www.w3.org/2001/XMLSchema" xmlns:p="http://schemas.microsoft.com/office/2006/metadata/properties" xmlns:ns3="7c8545af-3f13-424d-ac2e-fc0468939a8f" xmlns:ns4="4f5745ac-017d-4fd4-9059-65e9ca2d5afe" targetNamespace="http://schemas.microsoft.com/office/2006/metadata/properties" ma:root="true" ma:fieldsID="b211f10a952d92bb8dc4d539422b1dbe" ns3:_="" ns4:_="">
    <xsd:import namespace="7c8545af-3f13-424d-ac2e-fc0468939a8f"/>
    <xsd:import namespace="4f5745ac-017d-4fd4-9059-65e9ca2d5af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8545af-3f13-424d-ac2e-fc0468939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5745ac-017d-4fd4-9059-65e9ca2d5af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c8545af-3f13-424d-ac2e-fc0468939a8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2AFEBC-3194-43A4-9189-0A1465583F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8545af-3f13-424d-ac2e-fc0468939a8f"/>
    <ds:schemaRef ds:uri="4f5745ac-017d-4fd4-9059-65e9ca2d5a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0CF63A-30C9-4A8C-8DF9-EA62B8EC1A62}">
  <ds:schemaRefs>
    <ds:schemaRef ds:uri="http://purl.org/dc/terms/"/>
    <ds:schemaRef ds:uri="http://schemas.microsoft.com/office/2006/documentManagement/types"/>
    <ds:schemaRef ds:uri="http://purl.org/dc/dcmitype/"/>
    <ds:schemaRef ds:uri="4f5745ac-017d-4fd4-9059-65e9ca2d5afe"/>
    <ds:schemaRef ds:uri="http://purl.org/dc/elements/1.1/"/>
    <ds:schemaRef ds:uri="http://schemas.microsoft.com/office/infopath/2007/PartnerControls"/>
    <ds:schemaRef ds:uri="http://schemas.openxmlformats.org/package/2006/metadata/core-properties"/>
    <ds:schemaRef ds:uri="7c8545af-3f13-424d-ac2e-fc0468939a8f"/>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7A64A65-7DA4-4AE1-9847-B817073E47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ali</dc:creator>
  <cp:keywords/>
  <dc:description/>
  <cp:lastModifiedBy>m.jaberi14979@gmail.com</cp:lastModifiedBy>
  <cp:revision/>
  <dcterms:created xsi:type="dcterms:W3CDTF">2020-05-11T09:26:10Z</dcterms:created>
  <dcterms:modified xsi:type="dcterms:W3CDTF">2024-11-01T15:44:38Z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0x0101001EF1D0BBA052B643B5E1D03A2914D54F</vt:lpwstr>
  </property>
  <property fmtid="{D5CDD505-2E9C-101B-9397-08002B2CF9AE}" pid="3" name="MediaServiceImageTags">
    <vt:lpwstr/>
  </property>
</Properties>
</file>