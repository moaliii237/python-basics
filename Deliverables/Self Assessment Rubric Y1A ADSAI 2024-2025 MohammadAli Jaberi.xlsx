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sus\Desktop\"/>
    </mc:Choice>
  </mc:AlternateContent>
  <xr:revisionPtr revIDLastSave="0" documentId="8_{1EDB81C9-68AA-443C-8849-CDFCC1FF6A7B}" xr6:coauthVersionLast="47" xr6:coauthVersionMax="47" xr10:uidLastSave="{00000000-0000-0000-0000-000000000000}"/>
  <bookViews>
    <workbookView xWindow="-108" yWindow="-108" windowWidth="23256" windowHeight="12456" xr2:uid="{DAAEC50E-5317-F24F-8628-0EA25586FBC3}"/>
  </bookViews>
  <sheets>
    <sheet name="Student Self-Assessment" sheetId="1" r:id="rId1"/>
    <sheet name="ASSESSMENT RUBRIC" sheetId="2" state="hidden" r:id="rId2"/>
    <sheet name="Overview" sheetId="3"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jdOFpLH8nnuOagCkjXmqa+dNAPaQ=="/>
    </ext>
  </extLst>
</workbook>
</file>

<file path=xl/calcChain.xml><?xml version="1.0" encoding="utf-8"?>
<calcChain xmlns="http://schemas.openxmlformats.org/spreadsheetml/2006/main">
  <c r="L23" i="1" l="1"/>
  <c r="L19" i="1"/>
  <c r="L15" i="1"/>
  <c r="N41" i="1"/>
  <c r="L39" i="1"/>
  <c r="L35" i="1"/>
  <c r="L31" i="1"/>
  <c r="L27" i="1"/>
  <c r="P16" i="1"/>
  <c r="S18" i="2"/>
  <c r="R18" i="2"/>
  <c r="Q18" i="2"/>
  <c r="P18" i="2"/>
  <c r="O18" i="2"/>
  <c r="N18" i="2"/>
  <c r="S14" i="2"/>
  <c r="R14" i="2"/>
  <c r="Q14" i="2"/>
  <c r="P14" i="2"/>
  <c r="O14" i="2"/>
  <c r="N14" i="2"/>
  <c r="S7" i="2"/>
  <c r="R7" i="2"/>
  <c r="Q7" i="2"/>
  <c r="P7" i="2"/>
  <c r="O7" i="2"/>
  <c r="N7" i="2"/>
  <c r="S5" i="2"/>
  <c r="R5" i="2"/>
  <c r="Q5" i="2"/>
  <c r="P5" i="2"/>
  <c r="O5" i="2"/>
  <c r="N5" i="2"/>
  <c r="L41" i="1" l="1"/>
  <c r="L3" i="1" s="1"/>
  <c r="N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25" authorId="0" shapeId="0" xr:uid="{00000000-0006-0000-0100-000001000000}">
      <text>
        <r>
          <rPr>
            <sz val="10"/>
            <color rgb="FF000000"/>
            <rFont val="Arial"/>
            <family val="2"/>
            <scheme val="minor"/>
          </rPr>
          <t>======
ID#AAAAZPao7K8
    (2022-05-11 13:15:54)
@groot.p@ade-buas.nl will you have time to update these criteria.. I can add the OOP ones
_Assigned to Phil de Groot_
	-Abhishek Biswas</t>
        </r>
      </text>
    </comment>
  </commentList>
  <extLst>
    <ext xmlns:r="http://schemas.openxmlformats.org/officeDocument/2006/relationships" uri="GoogleSheetsCustomDataVersion1">
      <go:sheetsCustomData xmlns:go="http://customooxmlschemas.google.com/" r:id="rId1" roundtripDataSignature="AMtx7mhn7Yn3Ksc0QptyahFZOxKVRjWN/g=="/>
    </ext>
  </extLst>
</comments>
</file>

<file path=xl/sharedStrings.xml><?xml version="1.0" encoding="utf-8"?>
<sst xmlns="http://schemas.openxmlformats.org/spreadsheetml/2006/main" count="347" uniqueCount="231">
  <si>
    <t>Details</t>
  </si>
  <si>
    <t xml:space="preserve">Comments </t>
  </si>
  <si>
    <t>Self Assessed Grade</t>
  </si>
  <si>
    <t>Result</t>
  </si>
  <si>
    <t>Student Number</t>
  </si>
  <si>
    <t>&lt;&lt;provide student number&gt;&gt;</t>
  </si>
  <si>
    <t xml:space="preserve">&lt;&lt; fill in your self-assessment comments, any other academic feedback for the 8 weeks of work &gt;&gt; </t>
  </si>
  <si>
    <t>Student Name</t>
  </si>
  <si>
    <t>&lt;&lt;fill student name&gt;&gt;</t>
  </si>
  <si>
    <t>Project</t>
  </si>
  <si>
    <t>2024-25A FGA1.P1-ADSAI</t>
  </si>
  <si>
    <t>Opportunity</t>
  </si>
  <si>
    <t>First Opportunity</t>
  </si>
  <si>
    <t>Project Deadline</t>
  </si>
  <si>
    <t>01-Nov-2024</t>
  </si>
  <si>
    <t>Grading Rubric</t>
  </si>
  <si>
    <t>Indicated Learning Outcomes &amp; Assessment Indicators</t>
  </si>
  <si>
    <t>Pre - requisites</t>
  </si>
  <si>
    <t>ILO Components</t>
  </si>
  <si>
    <t>Score</t>
  </si>
  <si>
    <t xml:space="preserve">Out of </t>
  </si>
  <si>
    <t>Total</t>
  </si>
  <si>
    <t>ILO 0</t>
  </si>
  <si>
    <t>Foundational Skills
The student masters the foundational skills and knowledge that form the basis of Data Science and Artificial Intelligence.  </t>
  </si>
  <si>
    <t>Pre - requisite (s)</t>
  </si>
  <si>
    <t>A (Points: 20)</t>
  </si>
  <si>
    <t>0.1 Python. The student is able to write Python programs, to solve a wide range of introductory programming challenges and perform basic data analysis, using fundamental programming concepts.</t>
  </si>
  <si>
    <t>Student submits  a complete learning log, work log and self-assessment rubric. The student exhibits professional behaviour during the datalab.  The student was present at the Python exam or the planned retake and obtained the evidenced grade.</t>
  </si>
  <si>
    <t>The student demonstrates a solid understanding of Python fundamentals, including variables, conditionals, functions, loops, and data structures such as strings, lists, dictionaries, and tuples. The student is proficient in writing functions that use a wide range of conditional executions and can effectively utilize strings and lists to solve diverse problems. Additionally, the student can convert simple algorithms provided in English into Python, create and execute algorithms to solve various problems and combine loops with strings and lists in their solutions, showcasing strong algorithmic thinking.</t>
  </si>
  <si>
    <t>/</t>
  </si>
  <si>
    <t>Points</t>
  </si>
  <si>
    <t>Yes</t>
  </si>
  <si>
    <t xml:space="preserve">0.2 Mathematics. The student is able to perform elementary operations on matrices and understand the concepts of derivatives, gradients, optimization algorithms, and can implement a simple machine learning model from scratch. </t>
  </si>
  <si>
    <t>Student submits  a complete learning log, work log and self-assessment rubric. The student exhibits professional behaviour during the datalab. The student was present at the Math exam or the planned retake and obtained the evidenced grade.</t>
  </si>
  <si>
    <t>The student is able to perform calculations using basic arithmetic operators, work with variables, solve linear equations and inequalities both analytically and graphically, and analyze power, exponential, logarithmic, and trigonometric functions, as well as their inverses. The student can interpret derivative functions, determine the derivative of common mathematical functions, find the minimum and maximum on a graph, and describe changes using differences, slopes, and rates of change. The student is able to use trigonometric ratios and the unit circle, and understands how to use sine, cosine, and tangent to solve real-world problems. Additionally, the student can summarize data in various ways, find common measures of center like mean and median, and measure spread or variability using standard deviation and interquartile range.</t>
  </si>
  <si>
    <t>ILO 1</t>
  </si>
  <si>
    <t xml:space="preserve">Professional Practice The student can collaborate (internationally) in multidisciplinary teams with different levels of knowledge in the field of data use and applications. They can set up and execute projects in collaboration with stakeholders and team members. They can act as a sounding board in discussions with team members, customers, users and experts. They strive for a good balance between input of their own vision and additional expertise of others. They are able to lead a team. 
</t>
  </si>
  <si>
    <t>A (Points: 4)</t>
  </si>
  <si>
    <t>B (Points: 2)</t>
  </si>
  <si>
    <t>C (Points: 2)</t>
  </si>
  <si>
    <t>D (Points: 2)</t>
  </si>
  <si>
    <t>1.1 The student adheres to professional standards, and submits work, adhering to defined guidelines and processes in the Creative Brief.</t>
  </si>
  <si>
    <t>The completed tasks are outlined in the learning log, with detailed comments provided where necessary.</t>
  </si>
  <si>
    <t>The student fills out the learning log for each of the weeks.</t>
  </si>
  <si>
    <t xml:space="preserve">All references to important resources used are included in the learning log for the listed tasks. </t>
  </si>
  <si>
    <t xml:space="preserve">The student's writing style in learning log is professional and free of spelling and grammar mistakes. The student comprehends what was completed and why individual and project feedback was given.  </t>
  </si>
  <si>
    <t>ILO 2</t>
  </si>
  <si>
    <t xml:space="preserve">Personal Development &amp; Academic Practice
 The student applies relevant (research) methods and techniques in combination with relevant and adequate argumentation. They can reflect on (business) processes and their role in them, both theoretically and practically, by constantly evaluating their own actions and adapting them with input from others. They can translate the result of the reflection into concrete personal learning objectives. </t>
  </si>
  <si>
    <t>A (Points: 2)</t>
  </si>
  <si>
    <t>E (Points: 2)</t>
  </si>
  <si>
    <t xml:space="preserve">2.1 The student reports on learning progress and updates plans in a well-written, concise format with appropriate visual communication, guided by active engagement with feedback. </t>
  </si>
  <si>
    <t xml:space="preserve">Student submits  a complete learning log, work log and self-assessment rubric. The student exhibits professional behaviour during the datalab. </t>
  </si>
  <si>
    <t>Weekly reflections have been completed in Section B of the learning log.</t>
  </si>
  <si>
    <t xml:space="preserve">The reflection for the project and block (Section D of the learning log) has been completed. </t>
  </si>
  <si>
    <t xml:space="preserve">The reflections have been written professionally and make sense given the context. </t>
  </si>
  <si>
    <t xml:space="preserve">The reflections are critical wherever necessary and identify key lessons. </t>
  </si>
  <si>
    <t>There are clear steps identified from the key lessons that make sense. There are steps applicable to future projects and your professional development.</t>
  </si>
  <si>
    <t>ILO 3</t>
  </si>
  <si>
    <t xml:space="preserve">Ethical and Legal Responsibility. The student is aware of legal and ethical aspects within the context of their professional work environment and is able to make substantiated considerations in this regard. They act with justice and integrity. 
</t>
  </si>
  <si>
    <t>A (Points: 3)</t>
  </si>
  <si>
    <t>B (Points: 3)</t>
  </si>
  <si>
    <t>C (Points: 5)</t>
  </si>
  <si>
    <t>3.1 The student is able to identify, and analyze AI applications in fictional and real-life (business) scenarios by examining and applying relevant concepts from AI literature and theory.</t>
  </si>
  <si>
    <t>The student is able to identify, and describe an AI topic within a Sci-Fi movie or (TV) series, and connect it to the relevant domain(s), and subdomain(s) of the Taxonomy of AI.</t>
  </si>
  <si>
    <t xml:space="preserve">The student is able to provide one example of an AI application within a real-life (business) setting that is related to their chosen AI topic.  </t>
  </si>
  <si>
    <t xml:space="preserve">The student is able to evaluate the technical feasibility of the AI topic by critically assessing its application within a real-life (business) setting. </t>
  </si>
  <si>
    <t>The student is able to articulate the potential ethical and/or legal consequences of implementing the chosen AI topic in a real-life (business) setting.</t>
  </si>
  <si>
    <t>The student is able to incorporate academic practices by including in-text citations and a reference list, and at least one scholarly source in the presentation.</t>
  </si>
  <si>
    <t>ILO 7</t>
  </si>
  <si>
    <t xml:space="preserve">Data Analysis. The student can use analytical and statistical methods to analyze data to create value for individuals, organizations and domains. 
 </t>
  </si>
  <si>
    <t>C (Points: 3)</t>
  </si>
  <si>
    <t>D (Points: 3)</t>
  </si>
  <si>
    <t>E (Points: 3)</t>
  </si>
  <si>
    <t>7.1 The student can use analytical and statistical methods to analyze data to create value for individuals, organizations and domains. </t>
  </si>
  <si>
    <t>The student is able to describe data using measure of central tendency such as mean, median, mode or measures of dispersion such as standard deviation, range and IQR and determine which measure is best applicable to solve a use-case.</t>
  </si>
  <si>
    <t>The student can effectively apply fundamental data manipulation tools and techniques to organize and prepare data for visualization.</t>
  </si>
  <si>
    <t>The student is able to utilize advanced data manipulation techniques to efficiently manipulate and structure data for visualization</t>
  </si>
  <si>
    <t>ILO 10</t>
  </si>
  <si>
    <t xml:space="preserve">10.0  Visualization. The student can apply visualization and storytelling techniques and skills to effectively and accurately inform stakeholders about (interim) results of AI and DS approaches. 
</t>
  </si>
  <si>
    <t>10.1 The student is able to produce relevant and understandable data visualizations or reports for specific targets groups using industry standard tools.</t>
  </si>
  <si>
    <t xml:space="preserve">The student should submit the dashboard and the document detailing the process, addressing the creative brief. Student submits  a complete learning log, work log and self-assessment rubric. The student exhibits professional behaviour during the datalab. </t>
  </si>
  <si>
    <t>The student is able to compose a clear data-driven research question and is able to import data from 'flat-file' format to the visualization tool .</t>
  </si>
  <si>
    <t xml:space="preserve">The student is able to identify the variable types in the chosen dataset, select, clean and/or transform an appropriate dataset to answer the data-driven research question. </t>
  </si>
  <si>
    <t>The student is able to  generate appropriate visuals, effectively explain the generated visuals, link the explanations to the data driven reasearch question, and justify their creation.</t>
  </si>
  <si>
    <t>The student is able to utilize advanced functions in the visualization tool. The student is able to create a user-friendly dashboard, adhering to UI/UX principles. The rationale connecting these advanced visuals to the data-driven research question is documented.</t>
  </si>
  <si>
    <t>The student is able to identify the shortcomings of the current implementation and  propose next steps for future research.</t>
  </si>
  <si>
    <t xml:space="preserve">Project Total </t>
  </si>
  <si>
    <t>CRISP-DM Cycle</t>
  </si>
  <si>
    <t>CRISP Phase</t>
  </si>
  <si>
    <t>Competency</t>
  </si>
  <si>
    <t>Description</t>
  </si>
  <si>
    <t>Graduate Level</t>
  </si>
  <si>
    <t>Professional Development</t>
  </si>
  <si>
    <t xml:space="preserve">Project management and cooperation </t>
  </si>
  <si>
    <t>The student can collaborate (internationally) in multidisciplinary teams with different levels of knowledge in the field of data use and applications. The student can set up and execute projects in collaboration with stakeholders and team members. The student can act as a sounding board in discussions with team members, customers, users and experts. The student strives for a good balance between input of her own vision and additional expertise of others. The student is able to lead a team.</t>
  </si>
  <si>
    <t xml:space="preserve">Researching and reflective attitude </t>
  </si>
  <si>
    <t>The student applies relevant (research) methods and techniques in combination with relevant and adequate argumentation. The student can reflect on (business) processes and her role in them, both theoretically and practically, by constantly evaluating her own actions and adapting them with input from others. The student can translate the result of the reflection into concrete personal learning objectives.</t>
  </si>
  <si>
    <t>Responsibility</t>
  </si>
  <si>
    <t>The student is aware of legal and ethical aspects within the context of her professional work environment and is able to make substantiated considerations in this regard. The student acts from justice and integrity.</t>
  </si>
  <si>
    <t>Business understanding</t>
  </si>
  <si>
    <t>Problem analysis</t>
  </si>
  <si>
    <t>The student cn analyse a problem by describing the context, trade-offs and formulation of the final demand (as a result of a process of demand articulation). In doing so, The student identifies the possible solutions. As a result, The student can formulate an approach for a data trajectory considering relevant actors and interests, involving relevant theories and (technical) possibilities.</t>
  </si>
  <si>
    <t>Domain knowledge</t>
  </si>
  <si>
    <t>The student has such knowledge of and insight into one or more domains that The student can function as a discussion partner for experts. The student is able to quickly immerse herself in new domains and associated professional networks.</t>
  </si>
  <si>
    <t>Data understanding</t>
  </si>
  <si>
    <t>Data collection and processing</t>
  </si>
  <si>
    <t>The student masters (programming) skills to acquire, pre-process, process and manage the necessary data to create value for individuals, organizations and domains.</t>
  </si>
  <si>
    <t>Data preparation</t>
  </si>
  <si>
    <t>Data analysis</t>
  </si>
  <si>
    <t>The studentan can use analytical and statistical methods to analyse data to create value for individuals, organizations and domains.</t>
  </si>
  <si>
    <t>Modelling</t>
  </si>
  <si>
    <t>The studentan apply modelling techniques including Machine Learning and AI to create value for individuals, organizations and domains.</t>
  </si>
  <si>
    <t>Design, prototyping and implementation</t>
  </si>
  <si>
    <t>The studentan develop a prototype using an iterative cycle, explicitly involving stakeholders, and implement applications within an (existing) architecture.</t>
  </si>
  <si>
    <t>Evaluation &amp; Deployment</t>
  </si>
  <si>
    <t>Visualisation</t>
  </si>
  <si>
    <t>The student can apply visualization and storytelling techniques and skills to effectively and accurately inform stakeholders about (interim) results of AI and DS approaches.</t>
  </si>
  <si>
    <t>Reporting and advising</t>
  </si>
  <si>
    <t>The studentan can translate (interim) results into effective reporting. The student sees opportunities and possibilities and can translate these from a market-oriented vision into new concepts, products or services, while keeping the business side of the organization in mind.</t>
  </si>
  <si>
    <t> </t>
  </si>
  <si>
    <t>Dublin Descriptors</t>
  </si>
  <si>
    <t>#</t>
  </si>
  <si>
    <t>Outcomes</t>
  </si>
  <si>
    <t>First cycle qualifications (Bachelor Level)
Qualifications that signify completion of the first cycle are awarded to students who:</t>
  </si>
  <si>
    <t>Second cycle qualifications (Master Level)
Qualifications that signify completion of the second cycle are awarded to students who:</t>
  </si>
  <si>
    <t>Knowledge and Understanding</t>
  </si>
  <si>
    <t>Have demonstrated knowledge and understanding in a field of study that builds upon their general secondary education, and is typically at a level that, while supported by advanced textbooks, includes some aspects that will be informed by knowledge of the forefront of their field of study.</t>
  </si>
  <si>
    <t>Have demonstrated knowledge and understanding that is founded upon and extends and/or enhances that typically associated with the first cycle, and that provides a basis or opportunity for originality in developing and/or applying ideas, often within a research context.</t>
  </si>
  <si>
    <t>Applying Knowledge and Understanding</t>
  </si>
  <si>
    <t>Can apply their knowledge and understanding in a manner that indicates a professional approach to their work or vocation, and have competences typically demonstrated through devising and sustaining arguments and solving problems within their field of study.</t>
  </si>
  <si>
    <t>Can apply their knowledge and understanding, and problem solving abilities in new or unfamiliar environments within broader (or multidisciplinary) contexts related to their field of study.</t>
  </si>
  <si>
    <t>Making Judgements</t>
  </si>
  <si>
    <t>Have the ability to gather and interpret relevant data (usually within their field of study) to inform judgements that include reflection on relevant social, scientific or ethical issues.</t>
  </si>
  <si>
    <t>Have the ability to integrate knowledge and handle complexity, and formulate judgements with incomplete or limited information, but that include reflecting on social and ethical responsibilities linked to the application of their knowledge and judgements.</t>
  </si>
  <si>
    <t>Communication</t>
  </si>
  <si>
    <t>Can communicate information, ideas, problems and solutions to both specialist and non- specialist audiences.</t>
  </si>
  <si>
    <t>Can communicate their conclusions, and the knowledge and rationale underpinning these, to specialist and non-specialist audiences clearly and unambiguously.</t>
  </si>
  <si>
    <t>Learning Skills</t>
  </si>
  <si>
    <t>Have developed those learning skills that are necessary for them to continue to undertake further study with a high degree of autonomy.</t>
  </si>
  <si>
    <t>Have the learning skills to allow them to continue to study in a manner that may be largely self-directed or autonomous.</t>
  </si>
  <si>
    <t>ILO</t>
  </si>
  <si>
    <t>Data Structure - Demonstrate understanding of standard data structure and able to derive required structures for the project with strong reasoning and able to discuss the pros and cons.</t>
  </si>
  <si>
    <t>Missing (0 points)</t>
  </si>
  <si>
    <t>Poor (2 points)</t>
  </si>
  <si>
    <t>Insufficient (4 points)</t>
  </si>
  <si>
    <t>Sufficient (6 points)</t>
  </si>
  <si>
    <t>Good (8 points)</t>
  </si>
  <si>
    <t>Excellent (10 points)</t>
  </si>
  <si>
    <t>Demonstrates an understanding of standard datastructures and how they are selected, the internal structure and use.</t>
  </si>
  <si>
    <t>Data Structure - Demonstrate understanding of standard data structures (Containers, algorithms, iterators etc)</t>
  </si>
  <si>
    <t xml:space="preserve">Not addressed this block in project work.
</t>
  </si>
  <si>
    <t>Research for the basic data structures is not enough to start the implementation for a working code.</t>
  </si>
  <si>
    <t>Researched basic structures without much in depth analysis showing partial understanding of the concept .</t>
  </si>
  <si>
    <t>Analysed the requirements for the project and researched those data structure well enough to get them working in the project.</t>
  </si>
  <si>
    <t>Reseached in-depth, for performance factors (memory, runtime overheads, robustness etc..) of the data structures and able to conclude the pros &amp; cons of their implementation.</t>
  </si>
  <si>
    <t>Researched the best practices for building a library which can be used for generic purposes.</t>
  </si>
  <si>
    <t xml:space="preserve">Not evidenced this block in learning Log.
</t>
  </si>
  <si>
    <t>Poorly Evidenced in Learning Log.</t>
  </si>
  <si>
    <t>Documentation fail to prove certain key points which help in mapping the research to the project's need.</t>
  </si>
  <si>
    <t>The understanding is well documented including certain key reflection towards next steps on the topics.</t>
  </si>
  <si>
    <t>Researched exceptions and edge conditions of the structures for robust implementation .</t>
  </si>
  <si>
    <t>Presented an excellent research document, backed up with use cases and details from project.</t>
  </si>
  <si>
    <t>Demonstrating understanding of performance (memory, runtime overheads, robustness etc..) of the derived data types, the overall game performance and memory footprint.</t>
  </si>
  <si>
    <t>Data Stucture - Build your library of data stuctures</t>
  </si>
  <si>
    <t>Not addressed this block in project work.</t>
  </si>
  <si>
    <t>Poorly analysed the used case for data structure followed by incorrect to no implementation.</t>
  </si>
  <si>
    <t>Standard operators are implemented to minimum functionality.</t>
  </si>
  <si>
    <t>All standard operators are functional with only minor or no bugs.</t>
  </si>
  <si>
    <t>Required data structures implemented fully and used well in project.</t>
  </si>
  <si>
    <t>Library proves robustness with implemented unit test cases.</t>
  </si>
  <si>
    <t>Deriving an efficient practice for a context, backing up with strong reasons for the chosen approach.</t>
  </si>
  <si>
    <t>Poorly evidenced in Learning Log.</t>
  </si>
  <si>
    <t>Rare use cases demonstrated in project.</t>
  </si>
  <si>
    <t>Data structures partially organised in a library.</t>
  </si>
  <si>
    <t>All or most of the data structures organised in a library.</t>
  </si>
  <si>
    <t>Library is generic enough to be used for multiple projects this block.</t>
  </si>
  <si>
    <t>M</t>
  </si>
  <si>
    <t>P</t>
  </si>
  <si>
    <t>Is</t>
  </si>
  <si>
    <t>S</t>
  </si>
  <si>
    <t>G</t>
  </si>
  <si>
    <t>E</t>
  </si>
  <si>
    <t>Working Environment : 3.1 - Proficient in using development and production tools at a professional level (e.g. Perforce, Visual Studio- 2019 as an editor / debugger / profiler).</t>
  </si>
  <si>
    <t>Poor demonstration of use cases of VS2019 as a  editor, debugger. Repeated mistakes in using VS2019 due to lack of understanding and research on the topics. Did not demonstrated much learning on the topic and progress. 
Poorly documented the learning.</t>
  </si>
  <si>
    <t>Shown use cases and understanding of VS2019 as a C++ project editor.
Can demonstrate some usertanding and use cases of VS2019 Debugger.</t>
  </si>
  <si>
    <t>Can demonstrate extensive use of VS2019 debugger. 
Researched and included VS2019 plugins and shows understanding of the usage and purposes of the plugins.
Can create VS2019 C++ project from scratch
Can maintain filters and physical folders with consistent naming conventions for VS2019 projects.</t>
  </si>
  <si>
    <t>Can proficiently use VS2019 profiler and shows understanding of profiler concepts and how they can useful in improving performance of game
researched into atleast 1 or more profilers (CPU/GPU) and discussed the pros and cons or similaritites with VS2019 profiler.
Based on the project's requirement invest into atleast 1 more production /developement tool (eg: 2D-Level editors, Sound Editors etc.).</t>
  </si>
  <si>
    <t>Attitude towards building an automatic pipeline integrating production tools for build releases or production helpers.</t>
  </si>
  <si>
    <t>Perforce</t>
  </si>
  <si>
    <t>Poor understanding of source control operations, and consistent repetation of minor mistakes using perforce for project without showcasing any progress in learning. Poorly documented evidence</t>
  </si>
  <si>
    <t>Can use perforce for a day to day basis with basic functionalities, but does not demonstrate much understanding of concepts through use cases or learning documents.</t>
  </si>
  <si>
    <t>Demonstrates understanding of Perforce by showing use of atleast 4 or more operations and their purposes. Shows clear understanding of working with source control - Changelist, versions etc.</t>
  </si>
  <si>
    <t>Demonstrates understanding of Perforce by showing: 1) use of atleast 6 or more operations and their purposes. 2) Atleast 1 use case showcasing alternate set of operations serving the same use case. Shows clear understanding of source control termilogy - Client/Server/Workspace.</t>
  </si>
  <si>
    <t>Optional, uses perforce commandline utility to build and configure custom perforce clients for basic operations.</t>
  </si>
  <si>
    <t>Working Environment : 3.2 - Understanding C++ Build Process &amp; setting up and maintaining multiple game projects optimally where the projects easily check-out and compiles on other computers.</t>
  </si>
  <si>
    <t>Learning evidence and project setup demonstrates poor understanding of the build process in C++.</t>
  </si>
  <si>
    <t>Sufficient understanding of pre-compile and compile stage, but insufficient understanding of Linker stage. Documents not well written to demonstate the learning.</t>
  </si>
  <si>
    <t xml:space="preserve">Shows basic understanding of 3 key phases of C++ build process (precompile, compile and link stage) and reports the learning well in document and applies them in project. Makes suitable judgement of the files that needs to be or does not need to be on Perforce . </t>
  </si>
  <si>
    <t>Shows in depth analysis of the stages of build process in C++ project. 
Only the essential source files for building the game is submitted to perforce atleast 80% of the block.</t>
  </si>
  <si>
    <t>Explore other build option than VS2019. (Commandline and batch files can also be considered)</t>
  </si>
  <si>
    <t>Final build compiles and runs with less than 3 warnings and no errors</t>
  </si>
  <si>
    <t>Source code from perforce can be downloaded and build with no errors and warnings more than 80% of the time throughout the block</t>
  </si>
  <si>
    <t>Missing</t>
  </si>
  <si>
    <t>IS</t>
  </si>
  <si>
    <t>Good</t>
  </si>
  <si>
    <t>Excellent</t>
  </si>
  <si>
    <t>Use of C++ efficiently &amp; effectively and OOP design principles.</t>
  </si>
  <si>
    <t>C++</t>
  </si>
  <si>
    <t>No evidence provided</t>
  </si>
  <si>
    <t>Poor understanding of C++ language constructs</t>
  </si>
  <si>
    <t>Correct usage of basic data types, casting methods, references, and pointers. Understands scope, object lifetime, and control flow</t>
  </si>
  <si>
    <t>Appropriate usage of classes, functions, polymorphism and abstraction. Code runs cleanly without any crashes. Understanding of basic memory primitives such as arrays.</t>
  </si>
  <si>
    <t>Documented reasoning behind decisions with regards to performance and memory usage of chosen algorithms. No memory leaks or undefined behaviour present in the code. Understanding of the stack and heap. Understanding of binary and bitwise operations.</t>
  </si>
  <si>
    <t xml:space="preserve">Applies modern C++ guidelines with a clear reasoning why or why not. Consistent coding style. Const-correct code with clear and defined responsibilities for all objects and functions. </t>
  </si>
  <si>
    <t>OOP</t>
  </si>
  <si>
    <t>BLOCK A</t>
  </si>
  <si>
    <t>ADS&amp;AI Competencies</t>
  </si>
  <si>
    <t>IGAD Phases</t>
  </si>
  <si>
    <t>Knowledge &amp; Insight</t>
  </si>
  <si>
    <t>Application of K&amp;I</t>
  </si>
  <si>
    <t>Can analyse a problem by describing the context, trade-offs and formulation of the final demand (as a result of a process of demand articulation). In doing so, she identifies the possible solutions. As a result, she can formulate an approach for a data trajectory considering relevant actors and interests, involving relevant theories and (technical) possibilities.</t>
  </si>
  <si>
    <t>x</t>
  </si>
  <si>
    <t>Has such knowledge of and insight into one or more domains that she can function as a discussion partner for experts. She is able to quickly immerse herself in new domains and associated professional networks.</t>
  </si>
  <si>
    <t>Can collaborate (internationally) in multidisciplinary teams with different levels of knowledge in the field of data use and applications. She can set up and execute projects in collaboration with stakeholders and team members. She can act as a sounding board in discussions with team members, customers, users and experts. She strives for a good balance between input of her own vision and additional expertise of others. She is able to lead a team.</t>
  </si>
  <si>
    <t>Applies relevant (research) methods and techniques in combination with relevant and adequate argumentation. She can reflect on (business) processes and her role in them, both theoretically and practically, by constantly evaluating her own actions and adapting them with input from others. She can translate the result of the reflection into concrete personal learning objectives.</t>
  </si>
  <si>
    <t>Is aware of legal and ethical aspects within the context of her professional work environment and is able to make substantiated considerations in this regard. She acts from justice and integrity.</t>
  </si>
  <si>
    <t xml:space="preserve">
Student submits a complete learning log, work log and self-assessment rubric. The student exhibits professional behaviour during the datalab. The chosen Sci-Fi movie or (TV) series must receive approval from the mentor. Additionally, presentation slides should be uploaded through Brightspace Assignments, and the presentation itself should be no longer than 7 minutes. Finally, the student must complete the DataLab Preparation Quizzes available on Brightspace before the set deadline. </t>
  </si>
  <si>
    <t xml:space="preserve">Student submits  a complete learning log, work log and self-assessment rubric. The student exhibits professional behaviour during the datalab.  </t>
  </si>
  <si>
    <t>The student is able to calculate and interpret measures of association such as a correlation coefficient that addresses the use-case, documenting the process.</t>
  </si>
  <si>
    <t>The student is able to recognize the data science lifecyle as an iterative process and can clearly distinguish between phases of CRISP-DM, documenting the process.</t>
  </si>
  <si>
    <t xml:space="preserve">Both the raw data files and the processed data files before the visualizations are built must be provided. The document detailing the process is submitted. Student submits  a complete learning log, work log and self-assessment rubric. The student exhibits professional behaviour during the datalab.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</si>
</sst>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rgb="FF000000"/>
      <name val="Arial"/>
      <scheme val="minor"/>
    </font>
    <font>
      <sz val="10"/>
      <color rgb="FF000000"/>
      <name val="Calibri"/>
      <family val="2"/>
    </font>
    <font>
      <sz val="10"/>
      <name val="Arial"/>
      <family val="2"/>
    </font>
    <font>
      <b/>
      <sz val="10"/>
      <color theme="1"/>
      <name val="Calibri"/>
      <family val="2"/>
    </font>
    <font>
      <sz val="10"/>
      <color theme="1"/>
      <name val="Arial"/>
      <family val="2"/>
    </font>
    <font>
      <sz val="10"/>
      <color rgb="FF000000"/>
      <name val="Arial"/>
      <family val="2"/>
    </font>
    <font>
      <sz val="11"/>
      <color rgb="FF252424"/>
      <name val="Arial"/>
      <family val="2"/>
    </font>
    <font>
      <b/>
      <sz val="20"/>
      <color rgb="FF000000"/>
      <name val="Arial"/>
      <family val="2"/>
    </font>
    <font>
      <b/>
      <sz val="10"/>
      <color rgb="FFFFFFFF"/>
      <name val="Arial"/>
      <family val="2"/>
    </font>
    <font>
      <b/>
      <sz val="10"/>
      <color theme="1"/>
      <name val="Arial"/>
      <family val="2"/>
    </font>
    <font>
      <sz val="9"/>
      <color rgb="FF000000"/>
      <name val="Arial"/>
      <family val="2"/>
    </font>
    <font>
      <i/>
      <sz val="9"/>
      <color rgb="FF000000"/>
      <name val="Arial"/>
      <family val="2"/>
    </font>
    <font>
      <sz val="10"/>
      <color rgb="FF000000"/>
      <name val="Arial"/>
      <family val="2"/>
      <scheme val="minor"/>
    </font>
    <font>
      <sz val="10"/>
      <color theme="1"/>
      <name val="Aptos"/>
      <family val="2"/>
    </font>
    <font>
      <sz val="10"/>
      <color rgb="FF000000"/>
      <name val="Aptos"/>
      <family val="2"/>
    </font>
    <font>
      <sz val="18"/>
      <color theme="1"/>
      <name val="Aptos"/>
      <family val="2"/>
    </font>
    <font>
      <sz val="10"/>
      <name val="Aptos"/>
      <family val="2"/>
    </font>
    <font>
      <sz val="10"/>
      <color theme="0"/>
      <name val="Aptos"/>
      <family val="2"/>
    </font>
    <font>
      <b/>
      <sz val="10"/>
      <color theme="0"/>
      <name val="Aptos"/>
      <family val="2"/>
    </font>
    <font>
      <b/>
      <sz val="10"/>
      <color rgb="FFFFFFFF"/>
      <name val="Aptos"/>
      <family val="2"/>
    </font>
    <font>
      <b/>
      <sz val="14"/>
      <color theme="1"/>
      <name val="Aptos"/>
      <family val="2"/>
    </font>
    <font>
      <b/>
      <sz val="24"/>
      <color theme="1"/>
      <name val="Aptos"/>
      <family val="2"/>
    </font>
    <font>
      <sz val="14"/>
      <color theme="1"/>
      <name val="Aptos"/>
      <family val="2"/>
    </font>
    <font>
      <b/>
      <sz val="10"/>
      <color theme="1"/>
      <name val="Aptos"/>
      <family val="2"/>
    </font>
    <font>
      <sz val="14"/>
      <color rgb="FF000000"/>
      <name val="Aptos"/>
      <family val="2"/>
    </font>
    <font>
      <sz val="9"/>
      <color rgb="FF000000"/>
      <name val="Aptos"/>
      <family val="2"/>
    </font>
    <font>
      <i/>
      <sz val="10"/>
      <color theme="1"/>
      <name val="Aptos"/>
      <family val="2"/>
    </font>
    <font>
      <i/>
      <sz val="18"/>
      <color theme="1"/>
      <name val="Aptos"/>
      <family val="2"/>
    </font>
    <font>
      <sz val="12"/>
      <color theme="0"/>
      <name val="Aptos"/>
      <family val="2"/>
    </font>
    <font>
      <b/>
      <sz val="18"/>
      <color theme="1"/>
      <name val="Aptos"/>
      <family val="2"/>
    </font>
    <font>
      <sz val="18"/>
      <color rgb="FF000000"/>
      <name val="Aptos"/>
      <family val="2"/>
    </font>
    <font>
      <b/>
      <sz val="10"/>
      <name val="Aptos"/>
      <family val="2"/>
    </font>
    <font>
      <b/>
      <sz val="10"/>
      <color rgb="FF000000"/>
      <name val="Calibri"/>
      <family val="2"/>
    </font>
    <font>
      <sz val="20"/>
      <color theme="1"/>
      <name val="Aptos"/>
      <family val="2"/>
    </font>
    <font>
      <b/>
      <sz val="20"/>
      <color theme="1"/>
      <name val="Aptos"/>
      <family val="2"/>
    </font>
    <font>
      <i/>
      <sz val="12"/>
      <color theme="1"/>
      <name val="Aptos"/>
      <family val="2"/>
    </font>
    <font>
      <sz val="12"/>
      <color theme="1"/>
      <name val="Aptos"/>
      <family val="2"/>
    </font>
  </fonts>
  <fills count="46">
    <fill>
      <patternFill patternType="none"/>
    </fill>
    <fill>
      <patternFill patternType="gray125"/>
    </fill>
    <fill>
      <patternFill patternType="solid">
        <fgColor rgb="FF4C1130"/>
        <bgColor rgb="FF4C1130"/>
      </patternFill>
    </fill>
    <fill>
      <patternFill patternType="solid">
        <fgColor rgb="FFF7DCE8"/>
        <bgColor rgb="FFF7DCE8"/>
      </patternFill>
    </fill>
    <fill>
      <patternFill patternType="solid">
        <fgColor theme="1"/>
        <bgColor theme="1"/>
      </patternFill>
    </fill>
    <fill>
      <patternFill patternType="solid">
        <fgColor rgb="FF000000"/>
        <bgColor rgb="FF000000"/>
      </patternFill>
    </fill>
    <fill>
      <patternFill patternType="solid">
        <fgColor rgb="FFFFFF00"/>
        <bgColor rgb="FFFFFF00"/>
      </patternFill>
    </fill>
    <fill>
      <patternFill patternType="solid">
        <fgColor rgb="FFFFFFFF"/>
        <bgColor rgb="FFFFFFFF"/>
      </patternFill>
    </fill>
    <fill>
      <patternFill patternType="solid">
        <fgColor rgb="FFD9D9D9"/>
        <bgColor rgb="FFD9D9D9"/>
      </patternFill>
    </fill>
    <fill>
      <patternFill patternType="solid">
        <fgColor rgb="FFFFE1CC"/>
        <bgColor rgb="FFFFE1CC"/>
      </patternFill>
    </fill>
    <fill>
      <patternFill patternType="solid">
        <fgColor rgb="FFBDBDBD"/>
        <bgColor rgb="FFBDBDBD"/>
      </patternFill>
    </fill>
    <fill>
      <patternFill patternType="solid">
        <fgColor rgb="FFD5A6BD"/>
        <bgColor rgb="FFD5A6BD"/>
      </patternFill>
    </fill>
    <fill>
      <patternFill patternType="solid">
        <fgColor rgb="FFEAD1DC"/>
        <bgColor rgb="FFEAD1DC"/>
      </patternFill>
    </fill>
    <fill>
      <patternFill patternType="solid">
        <fgColor rgb="FFD9EAD3"/>
        <bgColor rgb="FFD9EAD3"/>
      </patternFill>
    </fill>
    <fill>
      <patternFill patternType="solid">
        <fgColor rgb="FFD9D2E9"/>
        <bgColor rgb="FFD9D2E9"/>
      </patternFill>
    </fill>
    <fill>
      <patternFill patternType="solid">
        <fgColor rgb="FFF3F3F3"/>
        <bgColor rgb="FFF3F3F3"/>
      </patternFill>
    </fill>
    <fill>
      <patternFill patternType="solid">
        <fgColor rgb="FF2F9299"/>
        <bgColor rgb="FF2F9299"/>
      </patternFill>
    </fill>
    <fill>
      <patternFill patternType="solid">
        <fgColor rgb="FF7AD592"/>
        <bgColor rgb="FF7AD592"/>
      </patternFill>
    </fill>
    <fill>
      <patternFill patternType="solid">
        <fgColor rgb="FFFEE1CC"/>
        <bgColor rgb="FFFEE1CC"/>
      </patternFill>
    </fill>
    <fill>
      <patternFill patternType="solid">
        <fgColor rgb="FFE97132"/>
        <bgColor rgb="FF000000"/>
      </patternFill>
    </fill>
    <fill>
      <patternFill patternType="solid">
        <fgColor theme="5" tint="0.79998168889431442"/>
        <bgColor indexed="64"/>
      </patternFill>
    </fill>
    <fill>
      <patternFill patternType="solid">
        <fgColor theme="1"/>
        <bgColor indexed="64"/>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0" tint="-4.9989318521683403E-2"/>
        <bgColor rgb="FFD9D9D9"/>
      </patternFill>
    </fill>
    <fill>
      <patternFill patternType="solid">
        <fgColor theme="0" tint="-0.249977111117893"/>
        <bgColor rgb="FFF3F3F3"/>
      </patternFill>
    </fill>
    <fill>
      <patternFill patternType="solid">
        <fgColor theme="0" tint="-0.249977111117893"/>
        <bgColor indexed="64"/>
      </patternFill>
    </fill>
    <fill>
      <patternFill patternType="solid">
        <fgColor theme="0" tint="-0.14999847407452621"/>
        <bgColor rgb="FFF3F3F3"/>
      </patternFill>
    </fill>
    <fill>
      <patternFill patternType="solid">
        <fgColor theme="0" tint="-0.14999847407452621"/>
        <bgColor indexed="64"/>
      </patternFill>
    </fill>
    <fill>
      <patternFill patternType="solid">
        <fgColor theme="0" tint="-0.249977111117893"/>
        <bgColor rgb="FFD9D9D9"/>
      </patternFill>
    </fill>
    <fill>
      <patternFill patternType="solid">
        <fgColor theme="0" tint="-0.14999847407452621"/>
        <bgColor rgb="FFD9D9D9"/>
      </patternFill>
    </fill>
    <fill>
      <patternFill patternType="solid">
        <fgColor rgb="FFD0D0D0"/>
        <bgColor rgb="FF000000"/>
      </patternFill>
    </fill>
    <fill>
      <patternFill patternType="solid">
        <fgColor rgb="FFD0D0D0"/>
        <bgColor rgb="FFD8D8D8"/>
      </patternFill>
    </fill>
    <fill>
      <patternFill patternType="solid">
        <fgColor rgb="FFD0D0D0"/>
        <bgColor rgb="FFD9D9D9"/>
      </patternFill>
    </fill>
    <fill>
      <patternFill patternType="solid">
        <fgColor rgb="FFD0D0D0"/>
        <bgColor indexed="64"/>
      </patternFill>
    </fill>
    <fill>
      <patternFill patternType="solid">
        <fgColor rgb="FFB7E2CD"/>
        <bgColor rgb="FFFFE1CC"/>
      </patternFill>
    </fill>
    <fill>
      <patternFill patternType="solid">
        <fgColor rgb="FFEA7131"/>
        <bgColor rgb="FFFFFFFF"/>
      </patternFill>
    </fill>
    <fill>
      <patternFill patternType="solid">
        <fgColor rgb="FFEA7131"/>
        <bgColor rgb="FFFBDAD7"/>
      </patternFill>
    </fill>
    <fill>
      <patternFill patternType="solid">
        <fgColor rgb="FFEA7131"/>
        <bgColor rgb="FFFFE1CC"/>
      </patternFill>
    </fill>
    <fill>
      <patternFill patternType="solid">
        <fgColor rgb="FFEA7131"/>
        <bgColor indexed="64"/>
      </patternFill>
    </fill>
    <fill>
      <patternFill patternType="solid">
        <fgColor rgb="FFFFF2CD"/>
        <bgColor rgb="FFFBDAD7"/>
      </patternFill>
    </fill>
    <fill>
      <patternFill patternType="solid">
        <fgColor rgb="FFFFE1CD"/>
        <bgColor rgb="FFFFE1CC"/>
      </patternFill>
    </fill>
    <fill>
      <patternFill patternType="solid">
        <fgColor rgb="FFF7C7AC"/>
        <bgColor rgb="FFFEF2CD"/>
      </patternFill>
    </fill>
    <fill>
      <patternFill patternType="solid">
        <fgColor rgb="FFFFE1CD"/>
        <bgColor rgb="FFD1F1DA"/>
      </patternFill>
    </fill>
    <fill>
      <patternFill patternType="solid">
        <fgColor rgb="FFF7C7AC"/>
        <bgColor rgb="FFDAF1F3"/>
      </patternFill>
    </fill>
    <fill>
      <patternFill patternType="solid">
        <fgColor rgb="FFFFE1CD"/>
        <bgColor rgb="FFD9E7FD"/>
      </patternFill>
    </fill>
  </fills>
  <borders count="43">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theme="1"/>
      </right>
      <top/>
      <bottom/>
      <diagonal/>
    </border>
    <border>
      <left style="thin">
        <color theme="1"/>
      </left>
      <right/>
      <top/>
      <bottom/>
      <diagonal/>
    </border>
    <border>
      <left/>
      <right/>
      <top style="thin">
        <color theme="9" tint="0.39997558519241921"/>
      </top>
      <bottom style="thin">
        <color theme="9" tint="0.39997558519241921"/>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theme="1"/>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1"/>
      </right>
      <top style="thin">
        <color theme="1"/>
      </top>
      <bottom/>
      <diagonal/>
    </border>
  </borders>
  <cellStyleXfs count="1">
    <xf numFmtId="0" fontId="0" fillId="0" borderId="0"/>
  </cellStyleXfs>
  <cellXfs count="223">
    <xf numFmtId="0" fontId="0" fillId="0" borderId="0" xfId="0"/>
    <xf numFmtId="0" fontId="4" fillId="0" borderId="0" xfId="0" applyFont="1"/>
    <xf numFmtId="0" fontId="4" fillId="0" borderId="0" xfId="0" applyFont="1" applyAlignment="1">
      <alignment wrapText="1"/>
    </xf>
    <xf numFmtId="0" fontId="4" fillId="0" borderId="0" xfId="0" applyFont="1" applyAlignment="1">
      <alignment vertical="top" wrapText="1"/>
    </xf>
    <xf numFmtId="0" fontId="4" fillId="0" borderId="0" xfId="0" applyFont="1" applyAlignment="1">
      <alignment vertical="center"/>
    </xf>
    <xf numFmtId="0" fontId="5" fillId="0" borderId="0" xfId="0" applyFont="1"/>
    <xf numFmtId="0" fontId="5" fillId="0" borderId="7" xfId="0" applyFont="1" applyBorder="1"/>
    <xf numFmtId="0" fontId="5" fillId="0" borderId="8" xfId="0" applyFont="1" applyBorder="1"/>
    <xf numFmtId="0" fontId="5" fillId="0" borderId="7" xfId="0" applyFont="1" applyBorder="1" applyAlignment="1">
      <alignment horizontal="center" vertical="top"/>
    </xf>
    <xf numFmtId="0" fontId="5" fillId="0" borderId="8" xfId="0" applyFont="1" applyBorder="1" applyAlignment="1">
      <alignment horizontal="center" vertical="top"/>
    </xf>
    <xf numFmtId="0" fontId="5" fillId="0" borderId="9" xfId="0" applyFont="1" applyBorder="1" applyAlignment="1">
      <alignment horizontal="center" vertical="top"/>
    </xf>
    <xf numFmtId="0" fontId="5" fillId="0" borderId="10" xfId="0" applyFont="1" applyBorder="1"/>
    <xf numFmtId="0" fontId="4" fillId="0" borderId="10" xfId="0" applyFont="1" applyBorder="1" applyAlignment="1">
      <alignment horizontal="center" vertical="top" wrapText="1"/>
    </xf>
    <xf numFmtId="0" fontId="4" fillId="0" borderId="0" xfId="0" applyFont="1" applyAlignment="1">
      <alignment horizontal="center" vertical="top" wrapText="1"/>
    </xf>
    <xf numFmtId="0" fontId="4" fillId="0" borderId="11" xfId="0" applyFont="1" applyBorder="1" applyAlignment="1">
      <alignment horizontal="center" vertical="top" wrapText="1"/>
    </xf>
    <xf numFmtId="0" fontId="9" fillId="0" borderId="10" xfId="0" applyFont="1" applyBorder="1" applyAlignment="1">
      <alignment vertical="top"/>
    </xf>
    <xf numFmtId="0" fontId="9" fillId="0" borderId="0" xfId="0" applyFont="1" applyAlignment="1">
      <alignment vertical="top"/>
    </xf>
    <xf numFmtId="0" fontId="9" fillId="0" borderId="11" xfId="0" applyFont="1" applyBorder="1" applyAlignment="1">
      <alignment vertical="top"/>
    </xf>
    <xf numFmtId="0" fontId="4" fillId="17" borderId="12" xfId="0" applyFont="1" applyFill="1" applyBorder="1" applyAlignment="1">
      <alignment horizontal="center" vertical="center"/>
    </xf>
    <xf numFmtId="0" fontId="10" fillId="17" borderId="13" xfId="0" applyFont="1" applyFill="1" applyBorder="1" applyAlignment="1">
      <alignment horizontal="left" vertical="center" wrapText="1"/>
    </xf>
    <xf numFmtId="0" fontId="4" fillId="17" borderId="14" xfId="0" applyFont="1" applyFill="1" applyBorder="1" applyAlignment="1">
      <alignment horizontal="center" vertical="center"/>
    </xf>
    <xf numFmtId="0" fontId="4" fillId="17" borderId="13" xfId="0" applyFont="1" applyFill="1" applyBorder="1" applyAlignment="1">
      <alignment horizontal="center" vertical="center"/>
    </xf>
    <xf numFmtId="0" fontId="5" fillId="0" borderId="15" xfId="0" applyFont="1" applyBorder="1"/>
    <xf numFmtId="0" fontId="4" fillId="18" borderId="12" xfId="0" applyFont="1" applyFill="1" applyBorder="1" applyAlignment="1">
      <alignment horizontal="center" vertical="center"/>
    </xf>
    <xf numFmtId="0" fontId="11" fillId="18" borderId="13" xfId="0" applyFont="1" applyFill="1" applyBorder="1" applyAlignment="1">
      <alignment horizontal="left" vertical="center" wrapText="1"/>
    </xf>
    <xf numFmtId="0" fontId="10" fillId="18" borderId="13" xfId="0" applyFont="1" applyFill="1" applyBorder="1" applyAlignment="1">
      <alignment horizontal="left" vertical="center" wrapText="1"/>
    </xf>
    <xf numFmtId="0" fontId="4" fillId="18" borderId="14" xfId="0" applyFont="1" applyFill="1" applyBorder="1" applyAlignment="1">
      <alignment horizontal="center" vertical="center"/>
    </xf>
    <xf numFmtId="0" fontId="4" fillId="18" borderId="13" xfId="0" applyFont="1" applyFill="1" applyBorder="1" applyAlignment="1">
      <alignment horizontal="center" vertical="center"/>
    </xf>
    <xf numFmtId="0" fontId="4" fillId="18" borderId="16" xfId="0" applyFont="1" applyFill="1" applyBorder="1" applyAlignment="1">
      <alignment horizontal="center" vertical="center"/>
    </xf>
    <xf numFmtId="0" fontId="4" fillId="18" borderId="17" xfId="0" applyFont="1" applyFill="1" applyBorder="1" applyAlignment="1">
      <alignment horizontal="center" vertical="center"/>
    </xf>
    <xf numFmtId="0" fontId="4" fillId="18" borderId="18" xfId="0" applyFont="1" applyFill="1" applyBorder="1" applyAlignment="1">
      <alignment horizontal="center" vertical="center"/>
    </xf>
    <xf numFmtId="0" fontId="4" fillId="6" borderId="1" xfId="0" applyFont="1" applyFill="1" applyBorder="1" applyAlignment="1">
      <alignment wrapText="1"/>
    </xf>
    <xf numFmtId="49" fontId="1" fillId="8" borderId="1" xfId="0" applyNumberFormat="1" applyFont="1" applyFill="1" applyBorder="1" applyAlignment="1">
      <alignment wrapText="1"/>
    </xf>
    <xf numFmtId="0" fontId="5" fillId="7" borderId="1" xfId="0" applyFont="1" applyFill="1" applyBorder="1" applyAlignment="1">
      <alignment horizontal="left" vertical="top" wrapText="1"/>
    </xf>
    <xf numFmtId="0" fontId="5" fillId="11" borderId="1" xfId="0" applyFont="1" applyFill="1" applyBorder="1" applyAlignment="1">
      <alignment horizontal="left" wrapText="1"/>
    </xf>
    <xf numFmtId="0" fontId="4" fillId="12" borderId="1" xfId="0" applyFont="1" applyFill="1" applyBorder="1" applyAlignment="1">
      <alignment wrapText="1"/>
    </xf>
    <xf numFmtId="0" fontId="4" fillId="13" borderId="1" xfId="0" applyFont="1" applyFill="1" applyBorder="1" applyAlignment="1">
      <alignment wrapText="1"/>
    </xf>
    <xf numFmtId="0" fontId="4" fillId="14" borderId="1" xfId="0" applyFont="1" applyFill="1" applyBorder="1" applyAlignment="1">
      <alignment wrapText="1"/>
    </xf>
    <xf numFmtId="0" fontId="4" fillId="11" borderId="1" xfId="0" applyFont="1" applyFill="1" applyBorder="1" applyAlignment="1">
      <alignment wrapText="1"/>
    </xf>
    <xf numFmtId="0" fontId="5" fillId="7" borderId="1" xfId="0" applyFont="1" applyFill="1" applyBorder="1" applyAlignment="1">
      <alignment horizontal="left"/>
    </xf>
    <xf numFmtId="0" fontId="6" fillId="7" borderId="1" xfId="0" applyFont="1" applyFill="1" applyBorder="1"/>
    <xf numFmtId="0" fontId="5" fillId="7" borderId="1" xfId="0" applyFont="1" applyFill="1" applyBorder="1" applyAlignment="1">
      <alignment horizontal="left" wrapText="1"/>
    </xf>
    <xf numFmtId="0" fontId="8" fillId="5" borderId="1" xfId="0" applyFont="1" applyFill="1" applyBorder="1" applyAlignment="1">
      <alignment horizontal="center" vertical="top"/>
    </xf>
    <xf numFmtId="0" fontId="4" fillId="5" borderId="11" xfId="0" applyFont="1" applyFill="1" applyBorder="1" applyAlignment="1">
      <alignment vertical="top"/>
    </xf>
    <xf numFmtId="0" fontId="13" fillId="2" borderId="1" xfId="0" applyFont="1" applyFill="1" applyBorder="1"/>
    <xf numFmtId="0" fontId="14" fillId="0" borderId="0" xfId="0" applyFont="1"/>
    <xf numFmtId="0" fontId="13" fillId="3" borderId="1" xfId="0" applyFont="1" applyFill="1" applyBorder="1"/>
    <xf numFmtId="0" fontId="17" fillId="3" borderId="1" xfId="0" applyFont="1" applyFill="1" applyBorder="1"/>
    <xf numFmtId="0" fontId="17" fillId="0" borderId="0" xfId="0" applyFont="1"/>
    <xf numFmtId="0" fontId="20" fillId="3" borderId="1" xfId="0" applyFont="1" applyFill="1" applyBorder="1" applyAlignment="1">
      <alignment horizontal="center" vertical="center" textRotation="90"/>
    </xf>
    <xf numFmtId="49" fontId="19" fillId="5" borderId="1" xfId="0" applyNumberFormat="1" applyFont="1" applyFill="1" applyBorder="1" applyAlignment="1">
      <alignment horizontal="center"/>
    </xf>
    <xf numFmtId="49" fontId="19" fillId="5" borderId="1" xfId="0" applyNumberFormat="1" applyFont="1" applyFill="1" applyBorder="1"/>
    <xf numFmtId="49" fontId="19" fillId="5" borderId="1" xfId="0" applyNumberFormat="1" applyFont="1" applyFill="1" applyBorder="1" applyAlignment="1">
      <alignment vertical="top"/>
    </xf>
    <xf numFmtId="0" fontId="24" fillId="8"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13" fillId="3" borderId="1" xfId="0" applyFont="1" applyFill="1" applyBorder="1" applyAlignment="1">
      <alignment horizontal="left" vertical="top"/>
    </xf>
    <xf numFmtId="0" fontId="14" fillId="0" borderId="0" xfId="0" applyFont="1" applyAlignment="1">
      <alignment horizontal="left" vertical="top"/>
    </xf>
    <xf numFmtId="0" fontId="13" fillId="3" borderId="1" xfId="0" applyFont="1" applyFill="1" applyBorder="1" applyAlignment="1">
      <alignment horizontal="center" vertical="top"/>
    </xf>
    <xf numFmtId="0" fontId="14" fillId="0" borderId="0" xfId="0" applyFont="1" applyAlignment="1">
      <alignment horizontal="center" vertical="top"/>
    </xf>
    <xf numFmtId="0" fontId="13" fillId="3" borderId="0" xfId="0" applyFont="1" applyFill="1"/>
    <xf numFmtId="49" fontId="13" fillId="6" borderId="19" xfId="0" applyNumberFormat="1" applyFont="1" applyFill="1" applyBorder="1" applyAlignment="1">
      <alignment horizontal="center" vertical="center"/>
    </xf>
    <xf numFmtId="49" fontId="26" fillId="6" borderId="19" xfId="0" applyNumberFormat="1" applyFont="1" applyFill="1" applyBorder="1" applyAlignment="1">
      <alignment horizontal="center" vertical="center"/>
    </xf>
    <xf numFmtId="49" fontId="18" fillId="4" borderId="1" xfId="0" applyNumberFormat="1" applyFont="1" applyFill="1" applyBorder="1" applyAlignment="1">
      <alignment horizontal="center"/>
    </xf>
    <xf numFmtId="0" fontId="19" fillId="5" borderId="1" xfId="0" applyFont="1" applyFill="1" applyBorder="1" applyAlignment="1">
      <alignment horizontal="center" vertical="center"/>
    </xf>
    <xf numFmtId="0" fontId="14" fillId="7"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19" fillId="5" borderId="1" xfId="0" applyFont="1" applyFill="1" applyBorder="1" applyAlignment="1">
      <alignment vertical="center"/>
    </xf>
    <xf numFmtId="0" fontId="22" fillId="7" borderId="25" xfId="0" applyFont="1" applyFill="1" applyBorder="1" applyAlignment="1">
      <alignment horizontal="center" vertical="center"/>
    </xf>
    <xf numFmtId="0" fontId="24" fillId="3" borderId="25" xfId="0" applyFont="1" applyFill="1" applyBorder="1" applyAlignment="1">
      <alignment horizontal="center" vertical="center" wrapText="1"/>
    </xf>
    <xf numFmtId="0" fontId="24" fillId="10" borderId="27" xfId="0" applyFont="1" applyFill="1" applyBorder="1" applyAlignment="1">
      <alignment horizontal="center" vertical="center" wrapText="1"/>
    </xf>
    <xf numFmtId="0" fontId="24" fillId="10" borderId="25" xfId="0" applyFont="1" applyFill="1" applyBorder="1" applyAlignment="1">
      <alignment horizontal="center" vertical="center" wrapText="1"/>
    </xf>
    <xf numFmtId="0" fontId="24" fillId="3" borderId="26" xfId="0" applyFont="1" applyFill="1" applyBorder="1" applyAlignment="1">
      <alignment horizontal="center" vertical="center" wrapText="1"/>
    </xf>
    <xf numFmtId="0" fontId="24" fillId="3" borderId="27" xfId="0" applyFont="1" applyFill="1" applyBorder="1" applyAlignment="1">
      <alignment horizontal="center" vertical="center" wrapText="1"/>
    </xf>
    <xf numFmtId="0" fontId="22" fillId="7" borderId="26" xfId="0" applyFont="1" applyFill="1" applyBorder="1" applyAlignment="1">
      <alignment horizontal="center" vertical="center"/>
    </xf>
    <xf numFmtId="0" fontId="22" fillId="7" borderId="27" xfId="0" applyFont="1" applyFill="1" applyBorder="1" applyAlignment="1">
      <alignment horizontal="center" vertical="center"/>
    </xf>
    <xf numFmtId="0" fontId="24" fillId="10" borderId="26" xfId="0" applyFont="1" applyFill="1" applyBorder="1" applyAlignment="1">
      <alignment horizontal="center" vertical="center" wrapText="1"/>
    </xf>
    <xf numFmtId="0" fontId="24" fillId="10" borderId="24" xfId="0" applyFont="1" applyFill="1" applyBorder="1" applyAlignment="1">
      <alignment horizontal="center" vertical="center" wrapText="1"/>
    </xf>
    <xf numFmtId="0" fontId="22" fillId="7" borderId="1" xfId="0" applyFont="1" applyFill="1" applyBorder="1" applyAlignment="1">
      <alignment horizontal="center" vertical="center"/>
    </xf>
    <xf numFmtId="0" fontId="24" fillId="10" borderId="1" xfId="0" applyFont="1" applyFill="1" applyBorder="1" applyAlignment="1">
      <alignment horizontal="center" vertical="center"/>
    </xf>
    <xf numFmtId="0" fontId="24" fillId="3" borderId="1" xfId="0" applyFont="1" applyFill="1" applyBorder="1" applyAlignment="1">
      <alignment horizontal="center" vertical="center"/>
    </xf>
    <xf numFmtId="0" fontId="16" fillId="19" borderId="1" xfId="0" applyFont="1" applyFill="1" applyBorder="1"/>
    <xf numFmtId="0" fontId="19" fillId="20" borderId="0" xfId="0" applyFont="1" applyFill="1" applyAlignment="1">
      <alignment vertical="top"/>
    </xf>
    <xf numFmtId="0" fontId="19" fillId="20" borderId="0" xfId="0" applyFont="1" applyFill="1" applyAlignment="1">
      <alignment horizontal="center" vertical="top"/>
    </xf>
    <xf numFmtId="0" fontId="24" fillId="20" borderId="0" xfId="0" applyFont="1" applyFill="1" applyAlignment="1">
      <alignment horizontal="center" vertical="center" wrapText="1"/>
    </xf>
    <xf numFmtId="0" fontId="19" fillId="5" borderId="0" xfId="0" applyFont="1" applyFill="1" applyAlignment="1">
      <alignment vertical="top"/>
    </xf>
    <xf numFmtId="0" fontId="14" fillId="21" borderId="0" xfId="0" applyFont="1" applyFill="1"/>
    <xf numFmtId="0" fontId="19" fillId="5" borderId="0" xfId="0" applyFont="1" applyFill="1" applyAlignment="1">
      <alignment horizontal="right" vertical="top"/>
    </xf>
    <xf numFmtId="0" fontId="23" fillId="22" borderId="0" xfId="0" applyFont="1" applyFill="1" applyAlignment="1">
      <alignment vertical="center" wrapText="1"/>
    </xf>
    <xf numFmtId="0" fontId="25" fillId="23" borderId="0" xfId="0" applyFont="1" applyFill="1" applyAlignment="1">
      <alignment horizontal="left" vertical="center" wrapText="1"/>
    </xf>
    <xf numFmtId="0" fontId="16" fillId="22" borderId="0" xfId="0" applyFont="1" applyFill="1" applyAlignment="1">
      <alignment horizontal="center" vertical="center"/>
    </xf>
    <xf numFmtId="0" fontId="23" fillId="24" borderId="0" xfId="0" applyFont="1" applyFill="1" applyAlignment="1">
      <alignment vertical="center" wrapText="1"/>
    </xf>
    <xf numFmtId="0" fontId="16" fillId="24" borderId="0" xfId="0" applyFont="1" applyFill="1" applyAlignment="1">
      <alignment horizontal="center" vertical="center"/>
    </xf>
    <xf numFmtId="0" fontId="23" fillId="25" borderId="0" xfId="0" applyFont="1" applyFill="1" applyAlignment="1">
      <alignment vertical="center" wrapText="1"/>
    </xf>
    <xf numFmtId="0" fontId="25" fillId="26" borderId="0" xfId="0" applyFont="1" applyFill="1" applyAlignment="1">
      <alignment horizontal="left" vertical="center" wrapText="1"/>
    </xf>
    <xf numFmtId="0" fontId="16" fillId="25" borderId="0" xfId="0" applyFont="1" applyFill="1" applyAlignment="1">
      <alignment horizontal="center" vertical="center"/>
    </xf>
    <xf numFmtId="0" fontId="23" fillId="27" borderId="0" xfId="0" applyFont="1" applyFill="1" applyAlignment="1">
      <alignment vertical="center" wrapText="1"/>
    </xf>
    <xf numFmtId="0" fontId="25" fillId="28" borderId="0" xfId="0" applyFont="1" applyFill="1" applyAlignment="1">
      <alignment horizontal="left" vertical="center" wrapText="1"/>
    </xf>
    <xf numFmtId="0" fontId="16" fillId="27" borderId="0" xfId="0" applyFont="1" applyFill="1" applyAlignment="1">
      <alignment horizontal="center" vertical="center"/>
    </xf>
    <xf numFmtId="0" fontId="23" fillId="29" borderId="0" xfId="0" applyFont="1" applyFill="1" applyAlignment="1">
      <alignment vertical="center" wrapText="1"/>
    </xf>
    <xf numFmtId="0" fontId="16" fillId="29" borderId="0" xfId="0" applyFont="1" applyFill="1" applyAlignment="1">
      <alignment horizontal="center" vertical="center"/>
    </xf>
    <xf numFmtId="0" fontId="24" fillId="20" borderId="0" xfId="0" applyFont="1" applyFill="1" applyAlignment="1">
      <alignment horizontal="left" vertical="top" wrapText="1"/>
    </xf>
    <xf numFmtId="0" fontId="23" fillId="30" borderId="0" xfId="0" applyFont="1" applyFill="1" applyAlignment="1">
      <alignment vertical="center" wrapText="1"/>
    </xf>
    <xf numFmtId="0" fontId="16" fillId="30" borderId="0" xfId="0" applyFont="1" applyFill="1" applyAlignment="1">
      <alignment horizontal="center" vertical="center"/>
    </xf>
    <xf numFmtId="0" fontId="24" fillId="20" borderId="0" xfId="0" applyFont="1" applyFill="1" applyAlignment="1">
      <alignment horizontal="center" vertical="top" wrapText="1"/>
    </xf>
    <xf numFmtId="0" fontId="16" fillId="20" borderId="0" xfId="0" applyFont="1" applyFill="1"/>
    <xf numFmtId="0" fontId="14" fillId="20" borderId="0" xfId="0" applyFont="1" applyFill="1"/>
    <xf numFmtId="0" fontId="19" fillId="5" borderId="0" xfId="0" applyFont="1" applyFill="1"/>
    <xf numFmtId="0" fontId="19" fillId="5" borderId="0" xfId="0" applyFont="1" applyFill="1" applyAlignment="1">
      <alignment wrapText="1"/>
    </xf>
    <xf numFmtId="0" fontId="31" fillId="0" borderId="0" xfId="0" applyFont="1" applyAlignment="1">
      <alignment horizontal="left"/>
    </xf>
    <xf numFmtId="0" fontId="16" fillId="0" borderId="0" xfId="0" applyFont="1" applyAlignment="1">
      <alignment wrapText="1"/>
    </xf>
    <xf numFmtId="0" fontId="31" fillId="8" borderId="0" xfId="0" applyFont="1" applyFill="1" applyAlignment="1">
      <alignment horizontal="left"/>
    </xf>
    <xf numFmtId="0" fontId="16" fillId="8" borderId="0" xfId="0" applyFont="1" applyFill="1" applyAlignment="1">
      <alignment wrapText="1"/>
    </xf>
    <xf numFmtId="0" fontId="14" fillId="0" borderId="19" xfId="0" applyFont="1" applyBorder="1"/>
    <xf numFmtId="0" fontId="14" fillId="0" borderId="29" xfId="0" applyFont="1" applyBorder="1"/>
    <xf numFmtId="0" fontId="13" fillId="20" borderId="0" xfId="0" applyFont="1" applyFill="1"/>
    <xf numFmtId="0" fontId="16" fillId="20" borderId="0" xfId="0" applyFont="1" applyFill="1" applyAlignment="1">
      <alignment horizontal="left" vertical="top"/>
    </xf>
    <xf numFmtId="0" fontId="13" fillId="20" borderId="0" xfId="0" applyFont="1" applyFill="1" applyAlignment="1">
      <alignment vertical="top"/>
    </xf>
    <xf numFmtId="0" fontId="19" fillId="20" borderId="0" xfId="0" applyFont="1" applyFill="1"/>
    <xf numFmtId="0" fontId="32" fillId="31" borderId="19" xfId="0" applyFont="1" applyFill="1" applyBorder="1" applyAlignment="1">
      <alignment horizontal="center" vertical="center" wrapText="1"/>
    </xf>
    <xf numFmtId="0" fontId="23" fillId="33" borderId="38" xfId="0" applyFont="1" applyFill="1" applyBorder="1" applyAlignment="1">
      <alignment horizontal="center" vertical="center" wrapText="1"/>
    </xf>
    <xf numFmtId="0" fontId="23" fillId="33" borderId="36" xfId="0" applyFont="1" applyFill="1" applyBorder="1" applyAlignment="1">
      <alignment horizontal="center" vertical="center" wrapText="1"/>
    </xf>
    <xf numFmtId="0" fontId="23" fillId="33" borderId="25" xfId="0" applyFont="1" applyFill="1" applyBorder="1" applyAlignment="1">
      <alignment horizontal="center" vertical="center" wrapText="1"/>
    </xf>
    <xf numFmtId="0" fontId="24" fillId="8" borderId="19" xfId="0" applyFont="1" applyFill="1" applyBorder="1" applyAlignment="1">
      <alignment horizontal="center" vertical="center" wrapText="1"/>
    </xf>
    <xf numFmtId="0" fontId="24" fillId="3" borderId="19" xfId="0" applyFont="1" applyFill="1" applyBorder="1" applyAlignment="1">
      <alignment horizontal="center" vertical="center" wrapText="1"/>
    </xf>
    <xf numFmtId="0" fontId="22" fillId="7" borderId="19" xfId="0" applyFont="1" applyFill="1" applyBorder="1" applyAlignment="1">
      <alignment horizontal="center" vertical="center"/>
    </xf>
    <xf numFmtId="0" fontId="24" fillId="10" borderId="19" xfId="0" applyFont="1" applyFill="1" applyBorder="1" applyAlignment="1">
      <alignment horizontal="center" vertical="center"/>
    </xf>
    <xf numFmtId="0" fontId="24" fillId="3" borderId="19" xfId="0" applyFont="1" applyFill="1" applyBorder="1" applyAlignment="1">
      <alignment horizontal="center" vertical="center"/>
    </xf>
    <xf numFmtId="0" fontId="22" fillId="7" borderId="25" xfId="0" applyFont="1" applyFill="1" applyBorder="1" applyAlignment="1">
      <alignment vertical="center"/>
    </xf>
    <xf numFmtId="0" fontId="24" fillId="3" borderId="27" xfId="0" applyFont="1" applyFill="1" applyBorder="1" applyAlignment="1">
      <alignment horizontal="center" vertical="center"/>
    </xf>
    <xf numFmtId="0" fontId="24" fillId="3" borderId="25" xfId="0" applyFont="1" applyFill="1" applyBorder="1" applyAlignment="1">
      <alignment vertical="center"/>
    </xf>
    <xf numFmtId="0" fontId="24" fillId="10" borderId="19" xfId="0" applyFont="1" applyFill="1" applyBorder="1" applyAlignment="1">
      <alignment horizontal="center" vertical="center" wrapText="1"/>
    </xf>
    <xf numFmtId="0" fontId="22" fillId="7" borderId="19" xfId="0" applyFont="1" applyFill="1" applyBorder="1" applyAlignment="1">
      <alignment vertical="center"/>
    </xf>
    <xf numFmtId="0" fontId="24" fillId="10" borderId="19" xfId="0" applyFont="1" applyFill="1" applyBorder="1" applyAlignment="1">
      <alignment vertical="center" wrapText="1"/>
    </xf>
    <xf numFmtId="0" fontId="24" fillId="3" borderId="19" xfId="0" applyFont="1" applyFill="1" applyBorder="1" applyAlignment="1">
      <alignment vertical="center" wrapText="1"/>
    </xf>
    <xf numFmtId="0" fontId="36" fillId="37" borderId="19" xfId="0" applyFont="1" applyFill="1" applyBorder="1" applyAlignment="1">
      <alignment horizontal="center" vertical="center" wrapText="1"/>
    </xf>
    <xf numFmtId="0" fontId="36" fillId="38" borderId="28" xfId="0" applyFont="1" applyFill="1" applyBorder="1" applyAlignment="1">
      <alignment horizontal="center" vertical="center" wrapText="1"/>
    </xf>
    <xf numFmtId="0" fontId="36" fillId="38" borderId="19" xfId="0" applyFont="1" applyFill="1" applyBorder="1" applyAlignment="1">
      <alignment horizontal="center" vertical="center" wrapText="1"/>
    </xf>
    <xf numFmtId="0" fontId="14" fillId="40" borderId="29" xfId="0" applyFont="1" applyFill="1" applyBorder="1" applyAlignment="1">
      <alignment horizontal="left" vertical="center" wrapText="1"/>
    </xf>
    <xf numFmtId="0" fontId="14" fillId="41" borderId="29" xfId="0" applyFont="1" applyFill="1" applyBorder="1" applyAlignment="1">
      <alignment horizontal="left" vertical="center" wrapText="1"/>
    </xf>
    <xf numFmtId="0" fontId="13" fillId="42" borderId="29" xfId="0" applyFont="1" applyFill="1" applyBorder="1" applyAlignment="1">
      <alignment horizontal="left" vertical="center" wrapText="1"/>
    </xf>
    <xf numFmtId="0" fontId="13" fillId="43" borderId="29" xfId="0" applyFont="1" applyFill="1" applyBorder="1" applyAlignment="1">
      <alignment horizontal="left" vertical="center" wrapText="1"/>
    </xf>
    <xf numFmtId="0" fontId="13" fillId="44" borderId="29" xfId="0" applyFont="1" applyFill="1" applyBorder="1" applyAlignment="1">
      <alignment horizontal="left" vertical="center" wrapText="1"/>
    </xf>
    <xf numFmtId="0" fontId="13" fillId="45" borderId="30" xfId="0" applyFont="1" applyFill="1" applyBorder="1" applyAlignment="1">
      <alignment horizontal="left" vertical="center" wrapText="1"/>
    </xf>
    <xf numFmtId="0" fontId="23" fillId="33" borderId="37" xfId="0" applyFont="1" applyFill="1" applyBorder="1" applyAlignment="1">
      <alignment horizontal="center" vertical="center" wrapText="1"/>
    </xf>
    <xf numFmtId="0" fontId="36" fillId="37" borderId="28" xfId="0" applyFont="1" applyFill="1" applyBorder="1" applyAlignment="1">
      <alignment horizontal="center" vertical="center" wrapText="1"/>
    </xf>
    <xf numFmtId="0" fontId="14" fillId="9" borderId="13" xfId="0" applyFont="1" applyFill="1" applyBorder="1" applyAlignment="1">
      <alignment vertical="center" wrapText="1"/>
    </xf>
    <xf numFmtId="0" fontId="13" fillId="44" borderId="41" xfId="0" applyFont="1" applyFill="1" applyBorder="1" applyAlignment="1">
      <alignment horizontal="left" vertical="center" wrapText="1"/>
    </xf>
    <xf numFmtId="0" fontId="23" fillId="33" borderId="42" xfId="0" applyFont="1" applyFill="1" applyBorder="1" applyAlignment="1">
      <alignment horizontal="center" vertical="center" wrapText="1"/>
    </xf>
    <xf numFmtId="0" fontId="25" fillId="28" borderId="0" xfId="0" applyFont="1" applyFill="1" applyAlignment="1">
      <alignment horizontal="left" vertical="center" wrapText="1"/>
    </xf>
    <xf numFmtId="0" fontId="25" fillId="26" borderId="0" xfId="0" applyFont="1" applyFill="1" applyAlignment="1">
      <alignment horizontal="left" vertical="center" wrapText="1"/>
    </xf>
    <xf numFmtId="0" fontId="23" fillId="33" borderId="1" xfId="0" applyFont="1" applyFill="1" applyBorder="1" applyAlignment="1">
      <alignment horizontal="left" vertical="top" wrapText="1"/>
    </xf>
    <xf numFmtId="0" fontId="13" fillId="7" borderId="40" xfId="0" applyFont="1" applyFill="1" applyBorder="1" applyAlignment="1">
      <alignment horizontal="left" vertical="center" wrapText="1"/>
    </xf>
    <xf numFmtId="0" fontId="13" fillId="7" borderId="41" xfId="0" applyFont="1" applyFill="1" applyBorder="1" applyAlignment="1">
      <alignment horizontal="left" vertical="center" wrapText="1"/>
    </xf>
    <xf numFmtId="0" fontId="35" fillId="36" borderId="31" xfId="0" applyFont="1" applyFill="1" applyBorder="1" applyAlignment="1">
      <alignment horizontal="center" vertical="center" wrapText="1"/>
    </xf>
    <xf numFmtId="0" fontId="35" fillId="36" borderId="19" xfId="0" applyFont="1" applyFill="1" applyBorder="1" applyAlignment="1">
      <alignment horizontal="center" vertical="center" wrapText="1"/>
    </xf>
    <xf numFmtId="0" fontId="36" fillId="38" borderId="13" xfId="0" applyFont="1" applyFill="1" applyBorder="1" applyAlignment="1">
      <alignment horizontal="center" vertical="center" wrapText="1"/>
    </xf>
    <xf numFmtId="0" fontId="25" fillId="23" borderId="0" xfId="0" applyFont="1" applyFill="1" applyAlignment="1">
      <alignment horizontal="left" vertical="center" wrapText="1"/>
    </xf>
    <xf numFmtId="0" fontId="19" fillId="5" borderId="0" xfId="0" applyFont="1" applyFill="1" applyAlignment="1">
      <alignment vertical="top"/>
    </xf>
    <xf numFmtId="0" fontId="23" fillId="33" borderId="19" xfId="0" applyFont="1" applyFill="1" applyBorder="1" applyAlignment="1">
      <alignment horizontal="center" vertical="top" wrapText="1"/>
    </xf>
    <xf numFmtId="0" fontId="23" fillId="32" borderId="20" xfId="0" applyFont="1" applyFill="1" applyBorder="1" applyAlignment="1">
      <alignment horizontal="left" vertical="center" wrapText="1"/>
    </xf>
    <xf numFmtId="0" fontId="23" fillId="32" borderId="1" xfId="0" applyFont="1" applyFill="1" applyBorder="1" applyAlignment="1">
      <alignment horizontal="left" vertical="center" wrapText="1"/>
    </xf>
    <xf numFmtId="0" fontId="23" fillId="33" borderId="28" xfId="0" applyFont="1" applyFill="1" applyBorder="1" applyAlignment="1">
      <alignment horizontal="center" vertical="top" wrapText="1"/>
    </xf>
    <xf numFmtId="0" fontId="23" fillId="33" borderId="31" xfId="0" applyFont="1" applyFill="1" applyBorder="1" applyAlignment="1">
      <alignment horizontal="center" vertical="top" wrapText="1"/>
    </xf>
    <xf numFmtId="0" fontId="23" fillId="33" borderId="36" xfId="0" applyFont="1" applyFill="1" applyBorder="1" applyAlignment="1">
      <alignment horizontal="center" vertical="center" wrapText="1"/>
    </xf>
    <xf numFmtId="0" fontId="23" fillId="33" borderId="37" xfId="0" applyFont="1" applyFill="1" applyBorder="1" applyAlignment="1">
      <alignment horizontal="center" vertical="center" wrapText="1"/>
    </xf>
    <xf numFmtId="0" fontId="14" fillId="9" borderId="33" xfId="0" applyFont="1" applyFill="1" applyBorder="1" applyAlignment="1">
      <alignment horizontal="center" vertical="center" wrapText="1"/>
    </xf>
    <xf numFmtId="0" fontId="14" fillId="9" borderId="34" xfId="0" applyFont="1" applyFill="1" applyBorder="1" applyAlignment="1">
      <alignment horizontal="center" vertical="center" wrapText="1"/>
    </xf>
    <xf numFmtId="0" fontId="29" fillId="3" borderId="26" xfId="0" applyFont="1" applyFill="1" applyBorder="1" applyAlignment="1">
      <alignment horizontal="center" vertical="center"/>
    </xf>
    <xf numFmtId="0" fontId="29" fillId="3" borderId="24" xfId="0" applyFont="1" applyFill="1" applyBorder="1" applyAlignment="1">
      <alignment horizontal="center" vertical="center"/>
    </xf>
    <xf numFmtId="0" fontId="29" fillId="3" borderId="27" xfId="0" applyFont="1" applyFill="1" applyBorder="1" applyAlignment="1">
      <alignment horizontal="center" vertical="center"/>
    </xf>
    <xf numFmtId="0" fontId="15" fillId="3" borderId="1" xfId="0" applyFont="1" applyFill="1" applyBorder="1" applyAlignment="1">
      <alignment horizontal="center" vertical="center"/>
    </xf>
    <xf numFmtId="49" fontId="19" fillId="5" borderId="1" xfId="0" applyNumberFormat="1" applyFont="1" applyFill="1" applyBorder="1" applyAlignment="1">
      <alignment horizontal="center"/>
    </xf>
    <xf numFmtId="0" fontId="35" fillId="36" borderId="28" xfId="0" applyFont="1" applyFill="1" applyBorder="1" applyAlignment="1">
      <alignment horizontal="center" vertical="center" wrapText="1"/>
    </xf>
    <xf numFmtId="0" fontId="14" fillId="9" borderId="35" xfId="0" applyFont="1" applyFill="1" applyBorder="1" applyAlignment="1">
      <alignment horizontal="center" vertical="center" wrapText="1"/>
    </xf>
    <xf numFmtId="0" fontId="36" fillId="38" borderId="28" xfId="0" applyFont="1" applyFill="1" applyBorder="1" applyAlignment="1">
      <alignment horizontal="center" vertical="center" wrapText="1"/>
    </xf>
    <xf numFmtId="0" fontId="36" fillId="38" borderId="32" xfId="0" applyFont="1" applyFill="1" applyBorder="1" applyAlignment="1">
      <alignment horizontal="center" vertical="center" wrapText="1"/>
    </xf>
    <xf numFmtId="0" fontId="36" fillId="38" borderId="39" xfId="0" applyFont="1" applyFill="1" applyBorder="1" applyAlignment="1">
      <alignment horizontal="center" vertical="center" wrapText="1"/>
    </xf>
    <xf numFmtId="0" fontId="18" fillId="4" borderId="1" xfId="0" applyFont="1" applyFill="1" applyBorder="1" applyAlignment="1">
      <alignment horizontal="right"/>
    </xf>
    <xf numFmtId="0" fontId="16" fillId="0" borderId="1" xfId="0" applyFont="1" applyBorder="1"/>
    <xf numFmtId="0" fontId="22" fillId="0" borderId="22" xfId="0" applyFont="1" applyBorder="1" applyAlignment="1">
      <alignment horizontal="center" vertical="center"/>
    </xf>
    <xf numFmtId="0" fontId="14" fillId="0" borderId="22" xfId="0" applyFont="1" applyBorder="1"/>
    <xf numFmtId="0" fontId="19" fillId="5" borderId="1" xfId="0" applyFont="1" applyFill="1" applyBorder="1" applyAlignment="1">
      <alignment horizontal="center" vertical="center"/>
    </xf>
    <xf numFmtId="0" fontId="24" fillId="10" borderId="27" xfId="0" applyFont="1" applyFill="1" applyBorder="1" applyAlignment="1">
      <alignment horizontal="center" vertical="center"/>
    </xf>
    <xf numFmtId="0" fontId="24" fillId="10" borderId="25" xfId="0" applyFont="1" applyFill="1" applyBorder="1" applyAlignment="1">
      <alignment horizontal="center" vertical="center"/>
    </xf>
    <xf numFmtId="0" fontId="21" fillId="0" borderId="23" xfId="0" applyFont="1" applyBorder="1" applyAlignment="1">
      <alignment horizontal="center" vertical="center"/>
    </xf>
    <xf numFmtId="0" fontId="14" fillId="0" borderId="23" xfId="0" applyFont="1" applyBorder="1"/>
    <xf numFmtId="0" fontId="19" fillId="5" borderId="1" xfId="0" applyFont="1" applyFill="1" applyBorder="1" applyAlignment="1">
      <alignment horizontal="right" vertical="center"/>
    </xf>
    <xf numFmtId="0" fontId="16" fillId="0" borderId="1" xfId="0" applyFont="1" applyBorder="1" applyAlignment="1">
      <alignment horizontal="right" vertical="center"/>
    </xf>
    <xf numFmtId="49" fontId="27" fillId="0" borderId="20" xfId="0" applyNumberFormat="1" applyFont="1" applyBorder="1" applyAlignment="1">
      <alignment horizontal="center" vertical="center"/>
    </xf>
    <xf numFmtId="49" fontId="27" fillId="0" borderId="1" xfId="0" applyNumberFormat="1" applyFont="1" applyBorder="1" applyAlignment="1">
      <alignment horizontal="center" vertical="center"/>
    </xf>
    <xf numFmtId="49" fontId="27" fillId="0" borderId="21" xfId="0" applyNumberFormat="1" applyFont="1" applyBorder="1" applyAlignment="1">
      <alignment horizontal="center" vertical="center"/>
    </xf>
    <xf numFmtId="0" fontId="14" fillId="0" borderId="0" xfId="0" applyFont="1" applyAlignment="1">
      <alignment wrapText="1"/>
    </xf>
    <xf numFmtId="0" fontId="14" fillId="0" borderId="0" xfId="0" applyFont="1" applyAlignment="1">
      <alignment horizontal="left" wrapText="1"/>
    </xf>
    <xf numFmtId="0" fontId="14" fillId="8" borderId="0" xfId="0" applyFont="1" applyFill="1" applyAlignment="1">
      <alignment wrapText="1"/>
    </xf>
    <xf numFmtId="0" fontId="14" fillId="8" borderId="0" xfId="0" applyFont="1" applyFill="1" applyAlignment="1">
      <alignment horizontal="left" wrapText="1"/>
    </xf>
    <xf numFmtId="0" fontId="23" fillId="32" borderId="1" xfId="0" applyFont="1" applyFill="1" applyBorder="1" applyAlignment="1">
      <alignment horizontal="left" vertical="top" wrapText="1"/>
    </xf>
    <xf numFmtId="0" fontId="16" fillId="34" borderId="1" xfId="0" applyFont="1" applyFill="1" applyBorder="1"/>
    <xf numFmtId="0" fontId="13" fillId="7"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9" fillId="5" borderId="0" xfId="0" applyFont="1" applyFill="1" applyAlignment="1">
      <alignment wrapText="1"/>
    </xf>
    <xf numFmtId="0" fontId="30" fillId="20" borderId="0" xfId="0" applyFont="1" applyFill="1"/>
    <xf numFmtId="0" fontId="23" fillId="33" borderId="1" xfId="0" applyFont="1" applyFill="1" applyBorder="1" applyAlignment="1">
      <alignment horizontal="left" vertical="center" wrapText="1"/>
    </xf>
    <xf numFmtId="0" fontId="34" fillId="0" borderId="19" xfId="0" applyFont="1" applyBorder="1" applyAlignment="1">
      <alignment horizontal="center" vertical="center" wrapText="1"/>
    </xf>
    <xf numFmtId="0" fontId="34" fillId="39" borderId="1" xfId="0" applyFont="1" applyFill="1" applyBorder="1" applyAlignment="1">
      <alignment horizontal="center" vertical="center" wrapText="1"/>
    </xf>
    <xf numFmtId="0" fontId="24" fillId="10" borderId="1" xfId="0" applyFont="1" applyFill="1" applyBorder="1" applyAlignment="1">
      <alignment horizontal="center" vertical="center" wrapText="1"/>
    </xf>
    <xf numFmtId="0" fontId="24" fillId="10" borderId="0" xfId="0" applyFont="1" applyFill="1" applyAlignment="1">
      <alignment horizontal="center" vertical="center" wrapText="1"/>
    </xf>
    <xf numFmtId="0" fontId="33" fillId="35" borderId="1" xfId="0" applyFont="1" applyFill="1" applyBorder="1" applyAlignment="1">
      <alignment horizontal="center" vertical="center" wrapText="1"/>
    </xf>
    <xf numFmtId="0" fontId="35" fillId="36" borderId="32" xfId="0" applyFont="1" applyFill="1" applyBorder="1" applyAlignment="1">
      <alignment horizontal="center" vertical="center" wrapText="1"/>
    </xf>
    <xf numFmtId="0" fontId="23" fillId="33" borderId="13" xfId="0" applyFont="1" applyFill="1" applyBorder="1" applyAlignment="1">
      <alignment horizontal="center" vertical="center" wrapText="1"/>
    </xf>
    <xf numFmtId="0" fontId="14" fillId="9" borderId="20" xfId="0" applyFont="1" applyFill="1" applyBorder="1" applyAlignment="1">
      <alignment horizontal="center" vertical="center" wrapText="1"/>
    </xf>
    <xf numFmtId="0" fontId="14" fillId="9" borderId="1" xfId="0" applyFont="1" applyFill="1" applyBorder="1" applyAlignment="1">
      <alignment horizontal="center" vertical="center" wrapText="1"/>
    </xf>
    <xf numFmtId="49" fontId="1" fillId="8" borderId="1" xfId="0" applyNumberFormat="1" applyFont="1" applyFill="1" applyBorder="1" applyAlignment="1">
      <alignment wrapText="1"/>
    </xf>
    <xf numFmtId="0" fontId="2" fillId="0" borderId="1" xfId="0" applyFont="1" applyBorder="1"/>
    <xf numFmtId="49" fontId="1" fillId="15" borderId="1" xfId="0" applyNumberFormat="1" applyFont="1" applyFill="1" applyBorder="1" applyAlignment="1">
      <alignment wrapText="1"/>
    </xf>
    <xf numFmtId="0" fontId="3" fillId="8" borderId="1" xfId="0" applyFont="1" applyFill="1" applyBorder="1" applyAlignment="1">
      <alignment vertical="top" wrapText="1"/>
    </xf>
    <xf numFmtId="0" fontId="7" fillId="16" borderId="2" xfId="0" applyFont="1" applyFill="1" applyBorder="1" applyAlignment="1">
      <alignment horizontal="center"/>
    </xf>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8" fillId="5" borderId="5" xfId="0" applyFont="1" applyFill="1" applyBorder="1" applyAlignment="1">
      <alignment horizontal="left" vertical="top"/>
    </xf>
    <xf numFmtId="0" fontId="8" fillId="5" borderId="10" xfId="0" applyFont="1" applyFill="1" applyBorder="1" applyAlignment="1">
      <alignment horizontal="center" vertical="top"/>
    </xf>
    <xf numFmtId="0" fontId="8" fillId="5" borderId="1" xfId="0" applyFont="1" applyFill="1" applyBorder="1" applyAlignment="1">
      <alignment horizontal="center" vertical="top"/>
    </xf>
  </cellXfs>
  <cellStyles count="1">
    <cellStyle name="Normal" xfId="0" builtinId="0"/>
  </cellStyles>
  <dxfs count="42">
    <dxf>
      <font>
        <color theme="1"/>
      </font>
    </dxf>
    <dxf>
      <fill>
        <patternFill>
          <bgColor rgb="FFFF0000"/>
        </patternFill>
      </fill>
    </dxf>
    <dxf>
      <font>
        <color rgb="FF006100"/>
      </font>
      <fill>
        <patternFill>
          <bgColor rgb="FFC6EFCE"/>
        </patternFill>
      </fill>
    </dxf>
    <dxf>
      <font>
        <color rgb="FFFFFFFF"/>
      </font>
      <fill>
        <patternFill patternType="solid">
          <fgColor rgb="FF000000"/>
          <bgColor rgb="FF000000"/>
        </patternFill>
      </fill>
    </dxf>
    <dxf>
      <fill>
        <patternFill patternType="solid">
          <fgColor rgb="FF63D297"/>
          <bgColor rgb="FF63D297"/>
        </patternFill>
      </fill>
    </dxf>
    <dxf>
      <font>
        <color rgb="FFFFFFFF"/>
      </font>
      <fill>
        <patternFill patternType="solid">
          <fgColor rgb="FFFF0000"/>
          <bgColor rgb="FFFF0000"/>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s>
  <tableStyles count="0" defaultTableStyle="TableStyleMedium2" defaultPivotStyle="PivotStyleLight16"/>
  <colors>
    <mruColors>
      <color rgb="FFFFE1CD"/>
      <color rgb="FFF7C7AC"/>
      <color rgb="FFFFF2CD"/>
      <color rgb="FFEA7131"/>
      <color rgb="FFB7E2CD"/>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1019"/>
  <sheetViews>
    <sheetView showGridLines="0" tabSelected="1" topLeftCell="C1" zoomScale="70" zoomScaleNormal="70" workbookViewId="0">
      <pane ySplit="7" topLeftCell="A35" activePane="bottomLeft" state="frozen"/>
      <selection pane="bottomLeft" activeCell="L44" sqref="L44"/>
    </sheetView>
  </sheetViews>
  <sheetFormatPr defaultColWidth="12.44140625" defaultRowHeight="15" customHeight="1" x14ac:dyDescent="0.3"/>
  <cols>
    <col min="1" max="2" width="9.109375" style="45" customWidth="1"/>
    <col min="3" max="3" width="17.44140625" style="45" customWidth="1"/>
    <col min="4" max="4" width="27" style="45" customWidth="1"/>
    <col min="5" max="5" width="22.6640625" style="45" customWidth="1"/>
    <col min="6" max="6" width="37.77734375" style="45" customWidth="1"/>
    <col min="7" max="7" width="29.33203125" style="45" customWidth="1"/>
    <col min="8" max="8" width="29.6640625" style="45" customWidth="1"/>
    <col min="9" max="9" width="33.109375" style="45" customWidth="1"/>
    <col min="10" max="11" width="36.6640625" style="45" customWidth="1"/>
    <col min="12" max="12" width="17.109375" style="45" customWidth="1"/>
    <col min="13" max="13" width="6.6640625" style="45" customWidth="1"/>
    <col min="14" max="14" width="17.109375" style="45" customWidth="1"/>
    <col min="15" max="15" width="6.6640625" style="45" customWidth="1"/>
    <col min="16" max="25" width="14.44140625" style="45" customWidth="1"/>
    <col min="26" max="16384" width="12.44140625" style="45"/>
  </cols>
  <sheetData>
    <row r="1" spans="1:25" ht="19.95" customHeight="1" x14ac:dyDescent="0.3">
      <c r="A1" s="80"/>
      <c r="B1" s="80"/>
      <c r="C1" s="80"/>
      <c r="D1" s="80"/>
      <c r="E1" s="80"/>
      <c r="F1" s="80"/>
      <c r="G1" s="80"/>
      <c r="H1" s="80"/>
      <c r="I1" s="80"/>
      <c r="J1" s="80"/>
      <c r="K1" s="80"/>
      <c r="L1" s="80"/>
      <c r="M1" s="80"/>
      <c r="N1" s="80"/>
      <c r="O1" s="80"/>
    </row>
    <row r="2" spans="1:25" ht="19.95" customHeight="1" x14ac:dyDescent="0.3">
      <c r="A2" s="80"/>
      <c r="B2" s="47"/>
      <c r="C2" s="177"/>
      <c r="D2" s="178"/>
      <c r="E2" s="62" t="s">
        <v>0</v>
      </c>
      <c r="F2" s="181" t="s">
        <v>1</v>
      </c>
      <c r="G2" s="181"/>
      <c r="H2" s="181"/>
      <c r="I2" s="181"/>
      <c r="J2" s="181"/>
      <c r="K2" s="181"/>
      <c r="L2" s="66" t="s">
        <v>2</v>
      </c>
      <c r="M2" s="66"/>
      <c r="N2" s="63" t="s">
        <v>3</v>
      </c>
      <c r="O2" s="80"/>
      <c r="P2" s="48"/>
      <c r="Q2" s="48"/>
      <c r="R2" s="48"/>
      <c r="S2" s="48"/>
      <c r="T2" s="48"/>
      <c r="U2" s="48"/>
      <c r="V2" s="48"/>
      <c r="W2" s="48"/>
      <c r="X2" s="48"/>
      <c r="Y2" s="48"/>
    </row>
    <row r="3" spans="1:25" ht="19.95" customHeight="1" x14ac:dyDescent="0.3">
      <c r="A3" s="80"/>
      <c r="B3" s="49"/>
      <c r="C3" s="186" t="s">
        <v>4</v>
      </c>
      <c r="D3" s="187"/>
      <c r="E3" s="61" t="s">
        <v>5</v>
      </c>
      <c r="F3" s="188" t="s">
        <v>6</v>
      </c>
      <c r="G3" s="189"/>
      <c r="H3" s="189"/>
      <c r="I3" s="189"/>
      <c r="J3" s="189"/>
      <c r="K3" s="190"/>
      <c r="L3" s="184">
        <f>L41/10</f>
        <v>8.1</v>
      </c>
      <c r="M3" s="179"/>
      <c r="N3" s="167" t="str">
        <f>IF(L3&gt;=5.5,"PASS",IF(L3&gt;0,"FAIL","M/O"))</f>
        <v>PASS</v>
      </c>
      <c r="O3" s="80"/>
    </row>
    <row r="4" spans="1:25" ht="19.95" customHeight="1" x14ac:dyDescent="0.3">
      <c r="A4" s="80"/>
      <c r="B4" s="49"/>
      <c r="C4" s="186" t="s">
        <v>7</v>
      </c>
      <c r="D4" s="187"/>
      <c r="E4" s="61" t="s">
        <v>8</v>
      </c>
      <c r="F4" s="188"/>
      <c r="G4" s="189"/>
      <c r="H4" s="189"/>
      <c r="I4" s="189"/>
      <c r="J4" s="189"/>
      <c r="K4" s="190"/>
      <c r="L4" s="185"/>
      <c r="M4" s="180"/>
      <c r="N4" s="168"/>
      <c r="O4" s="80"/>
    </row>
    <row r="5" spans="1:25" ht="19.95" customHeight="1" x14ac:dyDescent="0.3">
      <c r="A5" s="80"/>
      <c r="B5" s="49"/>
      <c r="C5" s="186" t="s">
        <v>9</v>
      </c>
      <c r="D5" s="187"/>
      <c r="E5" s="60" t="s">
        <v>10</v>
      </c>
      <c r="F5" s="188"/>
      <c r="G5" s="189"/>
      <c r="H5" s="189"/>
      <c r="I5" s="189"/>
      <c r="J5" s="189"/>
      <c r="K5" s="190"/>
      <c r="L5" s="185"/>
      <c r="M5" s="180"/>
      <c r="N5" s="168"/>
      <c r="O5" s="80"/>
    </row>
    <row r="6" spans="1:25" ht="19.95" customHeight="1" x14ac:dyDescent="0.3">
      <c r="A6" s="80"/>
      <c r="B6" s="49"/>
      <c r="C6" s="186" t="s">
        <v>11</v>
      </c>
      <c r="D6" s="187"/>
      <c r="E6" s="60" t="s">
        <v>12</v>
      </c>
      <c r="F6" s="188"/>
      <c r="G6" s="189"/>
      <c r="H6" s="189"/>
      <c r="I6" s="189"/>
      <c r="J6" s="189"/>
      <c r="K6" s="190"/>
      <c r="L6" s="185"/>
      <c r="M6" s="180"/>
      <c r="N6" s="168"/>
      <c r="O6" s="80"/>
    </row>
    <row r="7" spans="1:25" ht="19.95" customHeight="1" x14ac:dyDescent="0.3">
      <c r="A7" s="80"/>
      <c r="B7" s="49"/>
      <c r="C7" s="186" t="s">
        <v>13</v>
      </c>
      <c r="D7" s="187"/>
      <c r="E7" s="60" t="s">
        <v>14</v>
      </c>
      <c r="F7" s="188"/>
      <c r="G7" s="189"/>
      <c r="H7" s="189"/>
      <c r="I7" s="189"/>
      <c r="J7" s="189"/>
      <c r="K7" s="190"/>
      <c r="L7" s="185"/>
      <c r="M7" s="180"/>
      <c r="N7" s="169"/>
      <c r="O7" s="80"/>
    </row>
    <row r="8" spans="1:25" ht="19.95" customHeight="1" x14ac:dyDescent="0.3">
      <c r="A8" s="80"/>
      <c r="B8" s="46"/>
      <c r="C8" s="46"/>
      <c r="D8" s="46"/>
      <c r="E8" s="46"/>
      <c r="F8" s="46"/>
      <c r="G8" s="46"/>
      <c r="H8" s="46"/>
      <c r="I8" s="46"/>
      <c r="J8" s="46"/>
      <c r="K8" s="46"/>
      <c r="L8" s="46"/>
      <c r="M8" s="46"/>
      <c r="N8" s="46"/>
      <c r="O8" s="80"/>
    </row>
    <row r="9" spans="1:25" ht="15.75" customHeight="1" x14ac:dyDescent="0.3">
      <c r="A9" s="80"/>
      <c r="B9" s="80"/>
      <c r="C9" s="80"/>
      <c r="D9" s="80"/>
      <c r="E9" s="80"/>
      <c r="F9" s="80"/>
      <c r="G9" s="80"/>
      <c r="H9" s="80"/>
      <c r="I9" s="80"/>
      <c r="J9" s="80"/>
      <c r="K9" s="80"/>
      <c r="L9" s="80"/>
      <c r="M9" s="80"/>
      <c r="N9" s="80"/>
      <c r="O9" s="80"/>
    </row>
    <row r="10" spans="1:25" ht="25.05" customHeight="1" x14ac:dyDescent="0.3">
      <c r="A10" s="80"/>
      <c r="B10" s="46"/>
      <c r="C10" s="170" t="s">
        <v>15</v>
      </c>
      <c r="D10" s="170"/>
      <c r="E10" s="170"/>
      <c r="F10" s="170"/>
      <c r="G10" s="170"/>
      <c r="H10" s="170"/>
      <c r="I10" s="170"/>
      <c r="J10" s="170"/>
      <c r="K10" s="170"/>
      <c r="L10" s="170"/>
      <c r="M10" s="170"/>
      <c r="N10" s="46"/>
      <c r="O10" s="80"/>
    </row>
    <row r="11" spans="1:25" ht="15.75" customHeight="1" x14ac:dyDescent="0.3">
      <c r="A11" s="80"/>
      <c r="B11" s="46"/>
      <c r="C11" s="50"/>
      <c r="D11" s="51" t="s">
        <v>16</v>
      </c>
      <c r="E11" s="52"/>
      <c r="F11" s="50" t="s">
        <v>17</v>
      </c>
      <c r="G11" s="171" t="s">
        <v>18</v>
      </c>
      <c r="H11" s="171"/>
      <c r="I11" s="171"/>
      <c r="J11" s="171"/>
      <c r="K11" s="171"/>
      <c r="L11" s="50" t="s">
        <v>19</v>
      </c>
      <c r="M11" s="50" t="s">
        <v>20</v>
      </c>
      <c r="N11" s="50" t="s">
        <v>21</v>
      </c>
      <c r="O11" s="80"/>
    </row>
    <row r="12" spans="1:25" ht="15.75" customHeight="1" x14ac:dyDescent="0.3">
      <c r="A12" s="80"/>
      <c r="B12" s="46"/>
      <c r="C12" s="50"/>
      <c r="D12" s="51"/>
      <c r="E12" s="52"/>
      <c r="F12" s="50"/>
      <c r="G12" s="50"/>
      <c r="H12" s="50"/>
      <c r="I12" s="50"/>
      <c r="J12" s="50"/>
      <c r="K12" s="50"/>
      <c r="L12" s="50"/>
      <c r="M12" s="50"/>
      <c r="N12" s="50"/>
      <c r="O12" s="80"/>
    </row>
    <row r="13" spans="1:25" ht="48" customHeight="1" x14ac:dyDescent="0.3">
      <c r="A13" s="80"/>
      <c r="B13" s="46"/>
      <c r="C13" s="118" t="s">
        <v>22</v>
      </c>
      <c r="D13" s="159" t="s">
        <v>23</v>
      </c>
      <c r="E13" s="160"/>
      <c r="F13" s="160"/>
      <c r="G13" s="160"/>
      <c r="H13" s="160"/>
      <c r="I13" s="160"/>
      <c r="J13" s="160"/>
      <c r="K13" s="160"/>
      <c r="L13" s="53"/>
      <c r="M13" s="53"/>
      <c r="N13" s="54"/>
      <c r="O13" s="80"/>
    </row>
    <row r="14" spans="1:25" ht="19.95" customHeight="1" x14ac:dyDescent="0.3">
      <c r="A14" s="80"/>
      <c r="B14" s="46"/>
      <c r="C14" s="118"/>
      <c r="D14" s="161"/>
      <c r="E14" s="162"/>
      <c r="F14" s="119" t="s">
        <v>24</v>
      </c>
      <c r="G14" s="163" t="s">
        <v>25</v>
      </c>
      <c r="H14" s="164"/>
      <c r="I14" s="164"/>
      <c r="J14" s="164"/>
      <c r="K14" s="164"/>
      <c r="L14" s="122"/>
      <c r="M14" s="122"/>
      <c r="N14" s="123"/>
      <c r="O14" s="80"/>
    </row>
    <row r="15" spans="1:25" ht="141.75" customHeight="1" x14ac:dyDescent="0.3">
      <c r="A15" s="80"/>
      <c r="B15" s="46"/>
      <c r="C15" s="113"/>
      <c r="D15" s="151" t="s">
        <v>26</v>
      </c>
      <c r="E15" s="152"/>
      <c r="F15" s="137" t="s">
        <v>27</v>
      </c>
      <c r="G15" s="165" t="s">
        <v>28</v>
      </c>
      <c r="H15" s="166"/>
      <c r="I15" s="166"/>
      <c r="J15" s="166"/>
      <c r="K15" s="173"/>
      <c r="L15" s="74">
        <f>IF(F16="Yes",SUM(G16:K16)*2,0)</f>
        <v>12</v>
      </c>
      <c r="M15" s="182" t="s">
        <v>29</v>
      </c>
      <c r="N15" s="128">
        <v>20</v>
      </c>
      <c r="O15" s="80"/>
    </row>
    <row r="16" spans="1:25" ht="25.05" customHeight="1" x14ac:dyDescent="0.3">
      <c r="A16" s="80"/>
      <c r="B16" s="46"/>
      <c r="C16" s="112"/>
      <c r="D16" s="172" t="s">
        <v>30</v>
      </c>
      <c r="E16" s="153"/>
      <c r="F16" s="134" t="s">
        <v>31</v>
      </c>
      <c r="G16" s="174">
        <v>6</v>
      </c>
      <c r="H16" s="175"/>
      <c r="I16" s="175"/>
      <c r="J16" s="175"/>
      <c r="K16" s="176"/>
      <c r="L16" s="127"/>
      <c r="M16" s="183"/>
      <c r="N16" s="129"/>
      <c r="O16" s="80"/>
      <c r="P16" s="45">
        <f>SUM(G16:K16)</f>
        <v>6</v>
      </c>
    </row>
    <row r="17" spans="1:25" ht="48" customHeight="1" x14ac:dyDescent="0.3">
      <c r="A17" s="80"/>
      <c r="B17" s="46"/>
      <c r="C17" s="118" t="s">
        <v>22</v>
      </c>
      <c r="D17" s="159" t="s">
        <v>23</v>
      </c>
      <c r="E17" s="160"/>
      <c r="F17" s="160"/>
      <c r="G17" s="160"/>
      <c r="H17" s="160"/>
      <c r="I17" s="160"/>
      <c r="J17" s="160"/>
      <c r="K17" s="160"/>
      <c r="L17" s="77"/>
      <c r="M17" s="78"/>
      <c r="N17" s="79"/>
      <c r="O17" s="80"/>
    </row>
    <row r="18" spans="1:25" ht="19.95" customHeight="1" x14ac:dyDescent="0.3">
      <c r="A18" s="80"/>
      <c r="B18" s="46"/>
      <c r="C18" s="118"/>
      <c r="D18" s="161"/>
      <c r="E18" s="162"/>
      <c r="F18" s="119" t="s">
        <v>24</v>
      </c>
      <c r="G18" s="163" t="s">
        <v>25</v>
      </c>
      <c r="H18" s="164"/>
      <c r="I18" s="164"/>
      <c r="J18" s="164"/>
      <c r="K18" s="164"/>
      <c r="L18" s="124"/>
      <c r="M18" s="125"/>
      <c r="N18" s="126"/>
      <c r="O18" s="80"/>
    </row>
    <row r="19" spans="1:25" ht="141.75" customHeight="1" x14ac:dyDescent="0.3">
      <c r="A19" s="80"/>
      <c r="B19" s="46"/>
      <c r="C19" s="113"/>
      <c r="D19" s="151" t="s">
        <v>32</v>
      </c>
      <c r="E19" s="152"/>
      <c r="F19" s="137" t="s">
        <v>33</v>
      </c>
      <c r="G19" s="165" t="s">
        <v>34</v>
      </c>
      <c r="H19" s="166"/>
      <c r="I19" s="166"/>
      <c r="J19" s="166"/>
      <c r="K19" s="166"/>
      <c r="L19" s="74">
        <f>IF(F20="Yes",SUM(G20:K20)*2,0)</f>
        <v>18</v>
      </c>
      <c r="M19" s="125"/>
      <c r="N19" s="126">
        <v>20</v>
      </c>
      <c r="O19" s="80"/>
    </row>
    <row r="20" spans="1:25" ht="25.05" customHeight="1" x14ac:dyDescent="0.3">
      <c r="A20" s="80"/>
      <c r="B20" s="46"/>
      <c r="C20" s="112"/>
      <c r="D20" s="153" t="s">
        <v>30</v>
      </c>
      <c r="E20" s="154"/>
      <c r="F20" s="134" t="s">
        <v>31</v>
      </c>
      <c r="G20" s="174">
        <v>9</v>
      </c>
      <c r="H20" s="175"/>
      <c r="I20" s="175"/>
      <c r="J20" s="175"/>
      <c r="K20" s="176"/>
      <c r="L20" s="124"/>
      <c r="M20" s="78"/>
      <c r="N20" s="79"/>
      <c r="O20" s="80"/>
      <c r="Q20"/>
      <c r="R20"/>
      <c r="S20"/>
      <c r="T20"/>
      <c r="U20"/>
      <c r="V20"/>
      <c r="W20"/>
      <c r="X20"/>
      <c r="Y20"/>
    </row>
    <row r="21" spans="1:25" ht="48" customHeight="1" x14ac:dyDescent="0.3">
      <c r="A21" s="80"/>
      <c r="B21" s="46"/>
      <c r="C21" s="118" t="s">
        <v>35</v>
      </c>
      <c r="D21" s="150" t="s">
        <v>36</v>
      </c>
      <c r="E21" s="150"/>
      <c r="F21" s="150"/>
      <c r="G21" s="150"/>
      <c r="H21" s="150"/>
      <c r="I21" s="150"/>
      <c r="J21" s="150"/>
      <c r="K21" s="150"/>
      <c r="M21" s="125"/>
      <c r="N21" s="126"/>
      <c r="O21" s="80"/>
      <c r="Q21"/>
      <c r="R21"/>
      <c r="S21"/>
      <c r="T21"/>
      <c r="U21"/>
      <c r="V21"/>
      <c r="W21"/>
      <c r="X21"/>
      <c r="Y21"/>
    </row>
    <row r="22" spans="1:25" ht="25.05" customHeight="1" x14ac:dyDescent="0.3">
      <c r="A22" s="80"/>
      <c r="B22" s="46"/>
      <c r="C22" s="118"/>
      <c r="D22" s="158"/>
      <c r="E22" s="158"/>
      <c r="F22" s="143" t="s">
        <v>24</v>
      </c>
      <c r="G22" s="208" t="s">
        <v>37</v>
      </c>
      <c r="H22" s="208"/>
      <c r="I22" s="147" t="s">
        <v>38</v>
      </c>
      <c r="J22" s="121" t="s">
        <v>39</v>
      </c>
      <c r="K22" s="120" t="s">
        <v>40</v>
      </c>
      <c r="L22" s="124"/>
      <c r="M22" s="125"/>
      <c r="N22" s="126"/>
      <c r="O22" s="80"/>
      <c r="Q22"/>
      <c r="R22"/>
      <c r="S22"/>
      <c r="T22"/>
      <c r="U22"/>
      <c r="V22"/>
      <c r="W22"/>
      <c r="X22"/>
      <c r="Y22"/>
    </row>
    <row r="23" spans="1:25" ht="141.75" customHeight="1" x14ac:dyDescent="0.3">
      <c r="A23" s="80"/>
      <c r="B23" s="46"/>
      <c r="C23" s="112"/>
      <c r="D23" s="151" t="s">
        <v>41</v>
      </c>
      <c r="E23" s="152"/>
      <c r="F23" s="137" t="s">
        <v>227</v>
      </c>
      <c r="G23" s="209" t="s">
        <v>42</v>
      </c>
      <c r="H23" s="210"/>
      <c r="I23" s="145" t="s">
        <v>43</v>
      </c>
      <c r="J23" s="146" t="s">
        <v>44</v>
      </c>
      <c r="K23" s="142" t="s">
        <v>45</v>
      </c>
      <c r="L23" s="124">
        <f>IF(F24="Yes",SUM(G24:K24),0)</f>
        <v>9</v>
      </c>
      <c r="M23" s="125" t="s">
        <v>29</v>
      </c>
      <c r="N23" s="126">
        <v>10</v>
      </c>
      <c r="O23" s="80"/>
      <c r="Q23"/>
      <c r="R23"/>
      <c r="S23"/>
      <c r="T23"/>
      <c r="U23"/>
      <c r="V23"/>
      <c r="W23"/>
      <c r="X23"/>
      <c r="Y23"/>
    </row>
    <row r="24" spans="1:25" ht="25.05" customHeight="1" x14ac:dyDescent="0.3">
      <c r="A24" s="80"/>
      <c r="B24" s="46"/>
      <c r="C24" s="112"/>
      <c r="D24" s="153" t="s">
        <v>30</v>
      </c>
      <c r="E24" s="154"/>
      <c r="F24" s="144" t="s">
        <v>31</v>
      </c>
      <c r="G24" s="155">
        <v>4</v>
      </c>
      <c r="H24" s="155"/>
      <c r="I24" s="136">
        <v>2</v>
      </c>
      <c r="J24" s="136">
        <v>2</v>
      </c>
      <c r="K24" s="135">
        <v>1</v>
      </c>
      <c r="L24" s="124"/>
      <c r="M24" s="125"/>
      <c r="N24" s="126"/>
      <c r="O24" s="80"/>
      <c r="Q24"/>
      <c r="R24"/>
      <c r="S24"/>
      <c r="T24"/>
      <c r="U24"/>
      <c r="V24"/>
      <c r="W24"/>
      <c r="X24"/>
      <c r="Y24"/>
    </row>
    <row r="25" spans="1:25" ht="46.5" customHeight="1" x14ac:dyDescent="0.3">
      <c r="A25" s="80"/>
      <c r="B25" s="46"/>
      <c r="C25" s="118" t="s">
        <v>46</v>
      </c>
      <c r="D25" s="195" t="s">
        <v>47</v>
      </c>
      <c r="E25" s="196"/>
      <c r="F25" s="196"/>
      <c r="G25" s="196"/>
      <c r="H25" s="196"/>
      <c r="I25" s="196"/>
      <c r="J25" s="196"/>
      <c r="K25" s="196"/>
      <c r="L25" s="67"/>
      <c r="M25" s="69"/>
      <c r="N25" s="68"/>
      <c r="O25" s="80"/>
      <c r="Q25"/>
      <c r="R25"/>
      <c r="S25"/>
      <c r="T25"/>
      <c r="U25"/>
      <c r="V25"/>
      <c r="W25"/>
      <c r="X25"/>
      <c r="Y25"/>
    </row>
    <row r="26" spans="1:25" ht="19.95" customHeight="1" x14ac:dyDescent="0.3">
      <c r="A26" s="80"/>
      <c r="B26" s="46"/>
      <c r="C26" s="118"/>
      <c r="D26" s="158"/>
      <c r="E26" s="158"/>
      <c r="F26" s="121" t="s">
        <v>24</v>
      </c>
      <c r="G26" s="121" t="s">
        <v>48</v>
      </c>
      <c r="H26" s="121" t="s">
        <v>38</v>
      </c>
      <c r="I26" s="121" t="s">
        <v>39</v>
      </c>
      <c r="J26" s="121" t="s">
        <v>40</v>
      </c>
      <c r="K26" s="121" t="s">
        <v>49</v>
      </c>
      <c r="L26" s="73"/>
      <c r="M26" s="76"/>
      <c r="N26" s="71"/>
      <c r="O26" s="80"/>
      <c r="Q26"/>
      <c r="R26"/>
      <c r="S26"/>
      <c r="T26"/>
      <c r="U26"/>
      <c r="V26"/>
      <c r="W26"/>
      <c r="X26"/>
      <c r="Y26"/>
    </row>
    <row r="27" spans="1:25" ht="133.5" customHeight="1" x14ac:dyDescent="0.3">
      <c r="A27" s="80"/>
      <c r="B27" s="46"/>
      <c r="C27" s="112"/>
      <c r="D27" s="151" t="s">
        <v>50</v>
      </c>
      <c r="E27" s="152"/>
      <c r="F27" s="137" t="s">
        <v>51</v>
      </c>
      <c r="G27" s="138" t="s">
        <v>52</v>
      </c>
      <c r="H27" s="139" t="s">
        <v>53</v>
      </c>
      <c r="I27" s="140" t="s">
        <v>54</v>
      </c>
      <c r="J27" s="141" t="s">
        <v>55</v>
      </c>
      <c r="K27" s="142" t="s">
        <v>56</v>
      </c>
      <c r="L27" s="124">
        <f>IF(F28="Yes",SUM(G28:K28),0)</f>
        <v>8</v>
      </c>
      <c r="M27" s="130" t="s">
        <v>29</v>
      </c>
      <c r="N27" s="123">
        <v>10</v>
      </c>
      <c r="O27" s="80"/>
      <c r="Q27"/>
      <c r="R27"/>
      <c r="S27"/>
      <c r="T27"/>
      <c r="U27"/>
      <c r="V27"/>
      <c r="W27"/>
      <c r="X27"/>
      <c r="Y27"/>
    </row>
    <row r="28" spans="1:25" ht="25.05" customHeight="1" x14ac:dyDescent="0.3">
      <c r="A28" s="80"/>
      <c r="B28" s="46"/>
      <c r="C28" s="112"/>
      <c r="D28" s="207" t="s">
        <v>30</v>
      </c>
      <c r="E28" s="153"/>
      <c r="F28" s="134" t="s">
        <v>31</v>
      </c>
      <c r="G28" s="136">
        <v>2</v>
      </c>
      <c r="H28" s="136">
        <v>2</v>
      </c>
      <c r="I28" s="136">
        <v>2</v>
      </c>
      <c r="J28" s="136">
        <v>1</v>
      </c>
      <c r="K28" s="135">
        <v>1</v>
      </c>
      <c r="L28" s="131"/>
      <c r="M28" s="132"/>
      <c r="N28" s="133"/>
      <c r="O28" s="80"/>
      <c r="Q28"/>
      <c r="R28"/>
      <c r="S28"/>
      <c r="T28"/>
      <c r="U28"/>
      <c r="V28"/>
      <c r="W28"/>
      <c r="X28"/>
      <c r="Y28"/>
    </row>
    <row r="29" spans="1:25" ht="48" customHeight="1" x14ac:dyDescent="0.3">
      <c r="A29" s="80"/>
      <c r="B29" s="46"/>
      <c r="C29" s="118" t="s">
        <v>57</v>
      </c>
      <c r="D29" s="160" t="s">
        <v>58</v>
      </c>
      <c r="E29" s="196"/>
      <c r="F29" s="196"/>
      <c r="G29" s="196"/>
      <c r="H29" s="196"/>
      <c r="I29" s="196"/>
      <c r="J29" s="196"/>
      <c r="K29" s="196"/>
      <c r="L29" s="74"/>
      <c r="M29" s="69"/>
      <c r="N29" s="72"/>
      <c r="O29" s="80"/>
      <c r="Q29"/>
      <c r="R29"/>
      <c r="S29"/>
      <c r="T29"/>
      <c r="U29"/>
      <c r="V29"/>
      <c r="W29"/>
      <c r="X29"/>
      <c r="Y29"/>
    </row>
    <row r="30" spans="1:25" ht="19.95" customHeight="1" x14ac:dyDescent="0.3">
      <c r="A30" s="80"/>
      <c r="B30" s="46"/>
      <c r="C30" s="118"/>
      <c r="D30" s="158"/>
      <c r="E30" s="158"/>
      <c r="F30" s="121" t="s">
        <v>24</v>
      </c>
      <c r="G30" s="121" t="s">
        <v>59</v>
      </c>
      <c r="H30" s="121" t="s">
        <v>60</v>
      </c>
      <c r="I30" s="121" t="s">
        <v>61</v>
      </c>
      <c r="J30" s="121" t="s">
        <v>40</v>
      </c>
      <c r="K30" s="121" t="s">
        <v>49</v>
      </c>
      <c r="L30" s="73"/>
      <c r="M30" s="76"/>
      <c r="N30" s="71"/>
      <c r="O30" s="80"/>
      <c r="Q30"/>
      <c r="R30"/>
      <c r="S30"/>
      <c r="T30"/>
      <c r="U30"/>
      <c r="V30"/>
      <c r="W30"/>
      <c r="X30"/>
      <c r="Y30"/>
    </row>
    <row r="31" spans="1:25" ht="131.25" customHeight="1" x14ac:dyDescent="0.3">
      <c r="A31" s="80"/>
      <c r="B31" s="46"/>
      <c r="C31" s="112"/>
      <c r="D31" s="197" t="s">
        <v>62</v>
      </c>
      <c r="E31" s="198"/>
      <c r="F31" s="137" t="s">
        <v>226</v>
      </c>
      <c r="G31" s="138" t="s">
        <v>63</v>
      </c>
      <c r="H31" s="139" t="s">
        <v>64</v>
      </c>
      <c r="I31" s="140" t="s">
        <v>65</v>
      </c>
      <c r="J31" s="141" t="s">
        <v>66</v>
      </c>
      <c r="K31" s="142" t="s">
        <v>67</v>
      </c>
      <c r="L31" s="124">
        <f>IF(F32="Yes",SUM(G32:K32),0)</f>
        <v>15</v>
      </c>
      <c r="M31" s="130" t="s">
        <v>29</v>
      </c>
      <c r="N31" s="123">
        <v>15</v>
      </c>
      <c r="O31" s="80"/>
      <c r="Q31"/>
      <c r="R31"/>
      <c r="S31"/>
      <c r="T31"/>
      <c r="U31"/>
      <c r="V31"/>
      <c r="W31"/>
      <c r="X31"/>
      <c r="Y31"/>
    </row>
    <row r="32" spans="1:25" ht="25.05" customHeight="1" x14ac:dyDescent="0.3">
      <c r="A32" s="80"/>
      <c r="B32" s="46"/>
      <c r="C32" s="112"/>
      <c r="D32" s="153" t="s">
        <v>30</v>
      </c>
      <c r="E32" s="154"/>
      <c r="F32" s="134" t="s">
        <v>31</v>
      </c>
      <c r="G32" s="136">
        <v>3</v>
      </c>
      <c r="H32" s="136">
        <v>3</v>
      </c>
      <c r="I32" s="136">
        <v>5</v>
      </c>
      <c r="J32" s="136">
        <v>2</v>
      </c>
      <c r="K32" s="135">
        <v>2</v>
      </c>
      <c r="L32" s="124"/>
      <c r="M32" s="130"/>
      <c r="N32" s="123"/>
      <c r="O32" s="80"/>
      <c r="Q32"/>
      <c r="R32"/>
      <c r="S32"/>
      <c r="T32"/>
      <c r="U32"/>
      <c r="V32"/>
      <c r="W32"/>
      <c r="X32"/>
      <c r="Y32"/>
    </row>
    <row r="33" spans="1:25" ht="48" customHeight="1" x14ac:dyDescent="0.3">
      <c r="A33" s="80"/>
      <c r="B33" s="46"/>
      <c r="C33" s="118" t="s">
        <v>68</v>
      </c>
      <c r="D33" s="201" t="s">
        <v>69</v>
      </c>
      <c r="E33" s="196"/>
      <c r="F33" s="196"/>
      <c r="G33" s="196"/>
      <c r="H33" s="196"/>
      <c r="I33" s="196"/>
      <c r="J33" s="196"/>
      <c r="K33" s="196"/>
      <c r="L33" s="74"/>
      <c r="M33" s="69"/>
      <c r="N33" s="72"/>
      <c r="O33" s="80"/>
      <c r="Q33"/>
      <c r="R33"/>
      <c r="S33"/>
      <c r="T33"/>
      <c r="U33"/>
      <c r="V33"/>
      <c r="W33"/>
      <c r="X33"/>
      <c r="Y33"/>
    </row>
    <row r="34" spans="1:25" ht="19.95" customHeight="1" x14ac:dyDescent="0.3">
      <c r="A34" s="80"/>
      <c r="B34" s="46"/>
      <c r="C34" s="118"/>
      <c r="D34" s="158"/>
      <c r="E34" s="158"/>
      <c r="F34" s="121" t="s">
        <v>24</v>
      </c>
      <c r="G34" s="121" t="s">
        <v>59</v>
      </c>
      <c r="H34" s="121" t="s">
        <v>60</v>
      </c>
      <c r="I34" s="121" t="s">
        <v>70</v>
      </c>
      <c r="J34" s="121" t="s">
        <v>71</v>
      </c>
      <c r="K34" s="121" t="s">
        <v>72</v>
      </c>
      <c r="L34" s="67"/>
      <c r="M34" s="69"/>
      <c r="N34" s="68"/>
      <c r="O34" s="80"/>
      <c r="Q34"/>
      <c r="R34"/>
      <c r="S34"/>
      <c r="T34"/>
      <c r="U34"/>
      <c r="V34"/>
      <c r="W34"/>
      <c r="X34"/>
      <c r="Y34"/>
    </row>
    <row r="35" spans="1:25" ht="162.75" customHeight="1" x14ac:dyDescent="0.3">
      <c r="A35" s="80"/>
      <c r="B35" s="55"/>
      <c r="C35" s="112"/>
      <c r="D35" s="197" t="s">
        <v>73</v>
      </c>
      <c r="E35" s="198"/>
      <c r="F35" s="137" t="s">
        <v>230</v>
      </c>
      <c r="G35" s="138" t="s">
        <v>74</v>
      </c>
      <c r="H35" s="139" t="s">
        <v>75</v>
      </c>
      <c r="I35" s="140" t="s">
        <v>228</v>
      </c>
      <c r="J35" s="141" t="s">
        <v>76</v>
      </c>
      <c r="K35" s="142" t="s">
        <v>229</v>
      </c>
      <c r="L35" s="67">
        <f>IF(F36="Yes",SUM(G36:K36),0)</f>
        <v>12</v>
      </c>
      <c r="M35" s="75" t="s">
        <v>29</v>
      </c>
      <c r="N35" s="68">
        <v>15</v>
      </c>
      <c r="O35" s="80"/>
      <c r="P35" s="56"/>
      <c r="Q35"/>
      <c r="R35"/>
      <c r="S35"/>
      <c r="T35"/>
      <c r="U35"/>
      <c r="V35"/>
      <c r="W35"/>
      <c r="X35"/>
      <c r="Y35"/>
    </row>
    <row r="36" spans="1:25" ht="25.05" customHeight="1" x14ac:dyDescent="0.3">
      <c r="A36" s="80"/>
      <c r="B36" s="55"/>
      <c r="C36" s="112"/>
      <c r="D36" s="153" t="s">
        <v>30</v>
      </c>
      <c r="E36" s="154"/>
      <c r="F36" s="134" t="s">
        <v>31</v>
      </c>
      <c r="G36" s="136">
        <v>3</v>
      </c>
      <c r="H36" s="136">
        <v>2</v>
      </c>
      <c r="I36" s="136">
        <v>3</v>
      </c>
      <c r="J36" s="136">
        <v>2</v>
      </c>
      <c r="K36" s="135">
        <v>2</v>
      </c>
      <c r="L36" s="67"/>
      <c r="M36" s="69"/>
      <c r="N36" s="68"/>
      <c r="O36" s="80"/>
      <c r="P36" s="56"/>
      <c r="Q36"/>
      <c r="R36"/>
      <c r="S36"/>
      <c r="T36"/>
      <c r="U36"/>
      <c r="V36"/>
      <c r="W36"/>
      <c r="X36"/>
      <c r="Y36"/>
    </row>
    <row r="37" spans="1:25" ht="48" customHeight="1" x14ac:dyDescent="0.3">
      <c r="A37" s="80"/>
      <c r="B37" s="55"/>
      <c r="C37" s="118" t="s">
        <v>77</v>
      </c>
      <c r="D37" s="201" t="s">
        <v>78</v>
      </c>
      <c r="E37" s="196"/>
      <c r="F37" s="196"/>
      <c r="G37" s="196"/>
      <c r="H37" s="196"/>
      <c r="I37" s="196"/>
      <c r="J37" s="196"/>
      <c r="K37" s="196"/>
      <c r="L37" s="67"/>
      <c r="M37" s="69"/>
      <c r="N37" s="68"/>
      <c r="O37" s="80"/>
      <c r="P37" s="56"/>
      <c r="Q37"/>
      <c r="R37"/>
      <c r="S37"/>
      <c r="T37"/>
      <c r="U37"/>
      <c r="V37"/>
      <c r="W37"/>
      <c r="X37"/>
      <c r="Y37"/>
    </row>
    <row r="38" spans="1:25" ht="25.05" customHeight="1" x14ac:dyDescent="0.3">
      <c r="A38" s="80"/>
      <c r="B38" s="55"/>
      <c r="C38" s="118"/>
      <c r="D38" s="158"/>
      <c r="E38" s="158"/>
      <c r="F38" s="121" t="s">
        <v>24</v>
      </c>
      <c r="G38" s="121" t="s">
        <v>48</v>
      </c>
      <c r="H38" s="121" t="s">
        <v>38</v>
      </c>
      <c r="I38" s="121" t="s">
        <v>39</v>
      </c>
      <c r="J38" s="121" t="s">
        <v>40</v>
      </c>
      <c r="K38" s="121" t="s">
        <v>49</v>
      </c>
      <c r="L38" s="67"/>
      <c r="M38" s="69"/>
      <c r="N38" s="68"/>
      <c r="O38" s="80"/>
      <c r="P38" s="56"/>
      <c r="Q38"/>
      <c r="R38"/>
      <c r="S38"/>
      <c r="T38"/>
      <c r="U38"/>
      <c r="V38"/>
      <c r="W38"/>
      <c r="X38"/>
      <c r="Y38"/>
    </row>
    <row r="39" spans="1:25" ht="132.75" customHeight="1" x14ac:dyDescent="0.3">
      <c r="A39" s="80"/>
      <c r="B39" s="57"/>
      <c r="C39" s="112"/>
      <c r="D39" s="197" t="s">
        <v>79</v>
      </c>
      <c r="E39" s="197"/>
      <c r="F39" s="137" t="s">
        <v>80</v>
      </c>
      <c r="G39" s="138" t="s">
        <v>81</v>
      </c>
      <c r="H39" s="139" t="s">
        <v>82</v>
      </c>
      <c r="I39" s="140" t="s">
        <v>83</v>
      </c>
      <c r="J39" s="141" t="s">
        <v>84</v>
      </c>
      <c r="K39" s="142" t="s">
        <v>85</v>
      </c>
      <c r="L39" s="67">
        <f>IF(F40="Yes",SUM(G40:K40),0)</f>
        <v>7</v>
      </c>
      <c r="M39" s="70" t="s">
        <v>29</v>
      </c>
      <c r="N39" s="68">
        <v>10</v>
      </c>
      <c r="O39" s="80"/>
      <c r="P39" s="58"/>
      <c r="Q39"/>
      <c r="R39"/>
      <c r="S39"/>
      <c r="T39"/>
      <c r="U39"/>
      <c r="V39"/>
      <c r="W39"/>
      <c r="X39"/>
      <c r="Y39"/>
    </row>
    <row r="40" spans="1:25" ht="25.05" customHeight="1" x14ac:dyDescent="0.3">
      <c r="A40" s="80"/>
      <c r="B40" s="57"/>
      <c r="C40" s="112"/>
      <c r="D40" s="153" t="s">
        <v>30</v>
      </c>
      <c r="E40" s="154"/>
      <c r="F40" s="134" t="s">
        <v>31</v>
      </c>
      <c r="G40" s="136">
        <v>2</v>
      </c>
      <c r="H40" s="136">
        <v>2</v>
      </c>
      <c r="I40" s="136">
        <v>2</v>
      </c>
      <c r="J40" s="136">
        <v>1</v>
      </c>
      <c r="K40" s="135">
        <v>0</v>
      </c>
      <c r="L40" s="67"/>
      <c r="M40" s="70"/>
      <c r="N40" s="68"/>
      <c r="O40" s="80"/>
      <c r="P40" s="58"/>
      <c r="Q40"/>
      <c r="R40"/>
      <c r="S40"/>
      <c r="T40"/>
      <c r="U40"/>
      <c r="V40"/>
      <c r="W40"/>
      <c r="X40"/>
      <c r="Y40"/>
    </row>
    <row r="41" spans="1:25" ht="25.05" customHeight="1" x14ac:dyDescent="0.3">
      <c r="A41" s="80"/>
      <c r="B41" s="59"/>
      <c r="D41" s="64"/>
      <c r="E41" s="64"/>
      <c r="F41" s="65"/>
      <c r="G41" s="65"/>
      <c r="H41" s="65"/>
      <c r="I41" s="65"/>
      <c r="J41" s="65"/>
      <c r="K41" s="202" t="s">
        <v>86</v>
      </c>
      <c r="L41" s="203">
        <f>SUM(L15:L40)</f>
        <v>81</v>
      </c>
      <c r="M41" s="204" t="s">
        <v>29</v>
      </c>
      <c r="N41" s="206">
        <f>SUM(N15:N40)</f>
        <v>100</v>
      </c>
      <c r="O41" s="80"/>
      <c r="Q41"/>
      <c r="R41"/>
      <c r="S41"/>
      <c r="T41"/>
      <c r="U41"/>
      <c r="V41"/>
      <c r="W41"/>
      <c r="X41"/>
      <c r="Y41"/>
    </row>
    <row r="42" spans="1:25" ht="25.05" customHeight="1" x14ac:dyDescent="0.3">
      <c r="A42" s="80"/>
      <c r="B42" s="59"/>
      <c r="D42" s="64"/>
      <c r="E42" s="64"/>
      <c r="F42" s="65"/>
      <c r="G42" s="65"/>
      <c r="H42" s="65"/>
      <c r="I42" s="65"/>
      <c r="J42" s="65"/>
      <c r="K42" s="202"/>
      <c r="L42" s="203"/>
      <c r="M42" s="205"/>
      <c r="N42" s="206"/>
      <c r="O42" s="80"/>
      <c r="Q42"/>
      <c r="R42"/>
      <c r="S42"/>
      <c r="T42"/>
      <c r="U42"/>
      <c r="V42"/>
      <c r="W42"/>
      <c r="X42"/>
      <c r="Y42"/>
    </row>
    <row r="43" spans="1:25" ht="15.75" customHeight="1" x14ac:dyDescent="0.3">
      <c r="A43" s="80"/>
      <c r="B43" s="80"/>
      <c r="C43" s="80"/>
      <c r="D43" s="80"/>
      <c r="E43" s="80"/>
      <c r="F43" s="80"/>
      <c r="G43" s="80"/>
      <c r="H43" s="80"/>
      <c r="I43" s="80"/>
      <c r="J43" s="80"/>
      <c r="K43" s="80"/>
      <c r="L43" s="80"/>
      <c r="M43" s="80"/>
      <c r="N43" s="80"/>
      <c r="O43" s="80"/>
    </row>
    <row r="44" spans="1:25" ht="30.75" customHeight="1" x14ac:dyDescent="0.45">
      <c r="A44" s="80"/>
      <c r="B44" s="114"/>
      <c r="C44" s="200" t="s">
        <v>87</v>
      </c>
      <c r="D44" s="200"/>
      <c r="E44" s="200"/>
      <c r="F44" s="81"/>
      <c r="G44" s="81"/>
      <c r="H44" s="81"/>
      <c r="I44" s="81"/>
      <c r="J44" s="81"/>
      <c r="K44" s="81"/>
      <c r="L44" s="81"/>
      <c r="M44" s="82"/>
      <c r="N44" s="83"/>
      <c r="O44" s="80"/>
    </row>
    <row r="45" spans="1:25" ht="15.75" customHeight="1" x14ac:dyDescent="0.3">
      <c r="A45" s="80"/>
      <c r="B45" s="104"/>
      <c r="C45" s="84" t="s">
        <v>88</v>
      </c>
      <c r="D45" s="84" t="s">
        <v>89</v>
      </c>
      <c r="E45" s="157" t="s">
        <v>90</v>
      </c>
      <c r="F45" s="157"/>
      <c r="G45" s="157"/>
      <c r="H45" s="157"/>
      <c r="I45" s="157"/>
      <c r="J45" s="85"/>
      <c r="K45" s="84"/>
      <c r="L45" s="84"/>
      <c r="M45" s="86" t="s">
        <v>91</v>
      </c>
      <c r="N45" s="83"/>
      <c r="O45" s="80"/>
    </row>
    <row r="46" spans="1:25" ht="39.75" customHeight="1" x14ac:dyDescent="0.3">
      <c r="A46" s="80"/>
      <c r="B46" s="114"/>
      <c r="C46" s="87" t="s">
        <v>92</v>
      </c>
      <c r="D46" s="88" t="s">
        <v>93</v>
      </c>
      <c r="E46" s="156" t="s">
        <v>94</v>
      </c>
      <c r="F46" s="156"/>
      <c r="G46" s="156"/>
      <c r="H46" s="156"/>
      <c r="I46" s="156"/>
      <c r="J46" s="156"/>
      <c r="K46" s="156"/>
      <c r="L46" s="88"/>
      <c r="M46" s="89">
        <v>3</v>
      </c>
      <c r="N46" s="83"/>
      <c r="O46" s="80"/>
    </row>
    <row r="47" spans="1:25" ht="39.75" customHeight="1" x14ac:dyDescent="0.3">
      <c r="A47" s="80"/>
      <c r="B47" s="104"/>
      <c r="C47" s="90" t="s">
        <v>92</v>
      </c>
      <c r="D47" s="88" t="s">
        <v>95</v>
      </c>
      <c r="E47" s="156" t="s">
        <v>96</v>
      </c>
      <c r="F47" s="156"/>
      <c r="G47" s="156"/>
      <c r="H47" s="156"/>
      <c r="I47" s="156"/>
      <c r="J47" s="156"/>
      <c r="K47" s="156"/>
      <c r="L47" s="88"/>
      <c r="M47" s="91">
        <v>3</v>
      </c>
      <c r="N47" s="83"/>
      <c r="O47" s="80"/>
    </row>
    <row r="48" spans="1:25" ht="39.75" customHeight="1" x14ac:dyDescent="0.3">
      <c r="A48" s="80"/>
      <c r="B48" s="114"/>
      <c r="C48" s="87" t="s">
        <v>92</v>
      </c>
      <c r="D48" s="88" t="s">
        <v>97</v>
      </c>
      <c r="E48" s="156" t="s">
        <v>98</v>
      </c>
      <c r="F48" s="156"/>
      <c r="G48" s="156"/>
      <c r="H48" s="156"/>
      <c r="I48" s="156"/>
      <c r="J48" s="156"/>
      <c r="K48" s="156"/>
      <c r="L48" s="88"/>
      <c r="M48" s="89">
        <v>3</v>
      </c>
      <c r="N48" s="83"/>
      <c r="O48" s="80"/>
    </row>
    <row r="49" spans="1:15" ht="39.75" customHeight="1" x14ac:dyDescent="0.3">
      <c r="A49" s="80"/>
      <c r="B49" s="104"/>
      <c r="C49" s="92" t="s">
        <v>99</v>
      </c>
      <c r="D49" s="93" t="s">
        <v>100</v>
      </c>
      <c r="E49" s="149" t="s">
        <v>101</v>
      </c>
      <c r="F49" s="149"/>
      <c r="G49" s="149"/>
      <c r="H49" s="149"/>
      <c r="I49" s="149"/>
      <c r="J49" s="149"/>
      <c r="K49" s="149"/>
      <c r="L49" s="93"/>
      <c r="M49" s="94">
        <v>3</v>
      </c>
      <c r="N49" s="83"/>
      <c r="O49" s="80"/>
    </row>
    <row r="50" spans="1:15" ht="39.75" customHeight="1" x14ac:dyDescent="0.3">
      <c r="A50" s="80"/>
      <c r="B50" s="114"/>
      <c r="C50" s="95" t="s">
        <v>99</v>
      </c>
      <c r="D50" s="96" t="s">
        <v>102</v>
      </c>
      <c r="E50" s="148" t="s">
        <v>103</v>
      </c>
      <c r="F50" s="148"/>
      <c r="G50" s="148"/>
      <c r="H50" s="148"/>
      <c r="I50" s="148"/>
      <c r="J50" s="148"/>
      <c r="K50" s="148"/>
      <c r="L50" s="96"/>
      <c r="M50" s="97">
        <v>3</v>
      </c>
      <c r="N50" s="83"/>
      <c r="O50" s="80"/>
    </row>
    <row r="51" spans="1:15" ht="39.75" customHeight="1" x14ac:dyDescent="0.3">
      <c r="A51" s="80"/>
      <c r="B51" s="115"/>
      <c r="C51" s="98" t="s">
        <v>104</v>
      </c>
      <c r="D51" s="93" t="s">
        <v>105</v>
      </c>
      <c r="E51" s="149" t="s">
        <v>106</v>
      </c>
      <c r="F51" s="149"/>
      <c r="G51" s="149"/>
      <c r="H51" s="149"/>
      <c r="I51" s="149"/>
      <c r="J51" s="149"/>
      <c r="K51" s="149"/>
      <c r="L51" s="93"/>
      <c r="M51" s="99">
        <v>3</v>
      </c>
      <c r="N51" s="100"/>
      <c r="O51" s="80"/>
    </row>
    <row r="52" spans="1:15" ht="39.75" customHeight="1" x14ac:dyDescent="0.3">
      <c r="A52" s="80"/>
      <c r="B52" s="104"/>
      <c r="C52" s="101" t="s">
        <v>107</v>
      </c>
      <c r="D52" s="96" t="s">
        <v>108</v>
      </c>
      <c r="E52" s="148" t="s">
        <v>109</v>
      </c>
      <c r="F52" s="148"/>
      <c r="G52" s="148"/>
      <c r="H52" s="148"/>
      <c r="I52" s="148"/>
      <c r="J52" s="148"/>
      <c r="K52" s="148"/>
      <c r="L52" s="96"/>
      <c r="M52" s="102">
        <v>3</v>
      </c>
      <c r="N52" s="83"/>
      <c r="O52" s="80"/>
    </row>
    <row r="53" spans="1:15" ht="39.75" customHeight="1" x14ac:dyDescent="0.3">
      <c r="A53" s="80"/>
      <c r="B53" s="104"/>
      <c r="C53" s="92" t="s">
        <v>110</v>
      </c>
      <c r="D53" s="93" t="s">
        <v>110</v>
      </c>
      <c r="E53" s="149" t="s">
        <v>111</v>
      </c>
      <c r="F53" s="149"/>
      <c r="G53" s="149"/>
      <c r="H53" s="149"/>
      <c r="I53" s="149"/>
      <c r="J53" s="149"/>
      <c r="K53" s="149"/>
      <c r="L53" s="93"/>
      <c r="M53" s="94">
        <v>3</v>
      </c>
      <c r="N53" s="83"/>
      <c r="O53" s="80"/>
    </row>
    <row r="54" spans="1:15" ht="39.75" customHeight="1" x14ac:dyDescent="0.3">
      <c r="A54" s="80"/>
      <c r="B54" s="104"/>
      <c r="C54" s="95" t="s">
        <v>110</v>
      </c>
      <c r="D54" s="96" t="s">
        <v>112</v>
      </c>
      <c r="E54" s="148" t="s">
        <v>113</v>
      </c>
      <c r="F54" s="148"/>
      <c r="G54" s="148"/>
      <c r="H54" s="148"/>
      <c r="I54" s="148"/>
      <c r="J54" s="148"/>
      <c r="K54" s="148"/>
      <c r="L54" s="96"/>
      <c r="M54" s="97">
        <v>3</v>
      </c>
      <c r="N54" s="83"/>
      <c r="O54" s="80"/>
    </row>
    <row r="55" spans="1:15" ht="39.75" customHeight="1" x14ac:dyDescent="0.3">
      <c r="A55" s="80"/>
      <c r="B55" s="116"/>
      <c r="C55" s="98" t="s">
        <v>114</v>
      </c>
      <c r="D55" s="93" t="s">
        <v>115</v>
      </c>
      <c r="E55" s="149" t="s">
        <v>116</v>
      </c>
      <c r="F55" s="149"/>
      <c r="G55" s="149"/>
      <c r="H55" s="149"/>
      <c r="I55" s="149"/>
      <c r="J55" s="149"/>
      <c r="K55" s="149"/>
      <c r="L55" s="93"/>
      <c r="M55" s="99">
        <v>3</v>
      </c>
      <c r="N55" s="103"/>
      <c r="O55" s="80"/>
    </row>
    <row r="56" spans="1:15" ht="39.75" customHeight="1" x14ac:dyDescent="0.3">
      <c r="A56" s="80"/>
      <c r="B56" s="114"/>
      <c r="C56" s="101" t="s">
        <v>114</v>
      </c>
      <c r="D56" s="96" t="s">
        <v>117</v>
      </c>
      <c r="E56" s="148" t="s">
        <v>118</v>
      </c>
      <c r="F56" s="148"/>
      <c r="G56" s="148"/>
      <c r="H56" s="148"/>
      <c r="I56" s="148"/>
      <c r="J56" s="148"/>
      <c r="K56" s="148"/>
      <c r="L56" s="96"/>
      <c r="M56" s="102">
        <v>3</v>
      </c>
      <c r="N56" s="83"/>
      <c r="O56" s="80"/>
    </row>
    <row r="57" spans="1:15" ht="15.75" customHeight="1" x14ac:dyDescent="0.3">
      <c r="A57" s="80"/>
      <c r="B57" s="104"/>
      <c r="C57" s="104"/>
      <c r="D57" s="81"/>
      <c r="E57" s="81"/>
      <c r="F57" s="81"/>
      <c r="G57" s="81"/>
      <c r="H57" s="81"/>
      <c r="I57" s="81"/>
      <c r="J57" s="81"/>
      <c r="K57" s="81"/>
      <c r="L57" s="81"/>
      <c r="M57" s="81"/>
      <c r="N57" s="81"/>
      <c r="O57" s="80"/>
    </row>
    <row r="58" spans="1:15" ht="15.75" customHeight="1" x14ac:dyDescent="0.3">
      <c r="A58" s="80"/>
      <c r="B58" s="80"/>
      <c r="C58" s="80"/>
      <c r="D58" s="80"/>
      <c r="E58" s="80"/>
      <c r="F58" s="80"/>
      <c r="G58" s="80"/>
      <c r="H58" s="80"/>
      <c r="I58" s="80"/>
      <c r="J58" s="80"/>
      <c r="K58" s="80"/>
      <c r="L58" s="80"/>
      <c r="M58" s="80"/>
      <c r="N58" s="80"/>
      <c r="O58" s="80"/>
    </row>
    <row r="59" spans="1:15" ht="24" customHeight="1" x14ac:dyDescent="0.45">
      <c r="A59" s="80"/>
      <c r="B59" s="117" t="s">
        <v>119</v>
      </c>
      <c r="C59" s="200" t="s">
        <v>120</v>
      </c>
      <c r="D59" s="200"/>
      <c r="E59" s="200"/>
      <c r="F59" s="105" t="s">
        <v>119</v>
      </c>
      <c r="G59" s="104" t="s">
        <v>119</v>
      </c>
      <c r="H59" s="104" t="s">
        <v>119</v>
      </c>
      <c r="I59" s="104" t="s">
        <v>119</v>
      </c>
      <c r="J59" s="104" t="s">
        <v>119</v>
      </c>
      <c r="K59" s="104" t="s">
        <v>119</v>
      </c>
      <c r="L59" s="104"/>
      <c r="M59" s="104" t="s">
        <v>119</v>
      </c>
      <c r="N59" s="104" t="s">
        <v>119</v>
      </c>
      <c r="O59" s="80"/>
    </row>
    <row r="60" spans="1:15" ht="15.75" customHeight="1" x14ac:dyDescent="0.3">
      <c r="A60" s="80"/>
      <c r="B60" s="117" t="s">
        <v>119</v>
      </c>
      <c r="C60" s="106" t="s">
        <v>121</v>
      </c>
      <c r="D60" s="106" t="s">
        <v>122</v>
      </c>
      <c r="E60" s="199" t="s">
        <v>123</v>
      </c>
      <c r="F60" s="199"/>
      <c r="G60" s="199"/>
      <c r="H60" s="199"/>
      <c r="I60" s="107" t="s">
        <v>124</v>
      </c>
      <c r="J60" s="106"/>
      <c r="K60" s="106"/>
      <c r="L60" s="106"/>
      <c r="M60" s="106"/>
      <c r="N60" s="104" t="s">
        <v>119</v>
      </c>
      <c r="O60" s="80"/>
    </row>
    <row r="61" spans="1:15" ht="48.75" customHeight="1" x14ac:dyDescent="0.3">
      <c r="A61" s="80"/>
      <c r="B61" s="104" t="s">
        <v>119</v>
      </c>
      <c r="C61" s="108">
        <v>1</v>
      </c>
      <c r="D61" s="109" t="s">
        <v>125</v>
      </c>
      <c r="E61" s="191" t="s">
        <v>126</v>
      </c>
      <c r="F61" s="191"/>
      <c r="G61" s="191"/>
      <c r="H61" s="191"/>
      <c r="I61" s="192" t="s">
        <v>127</v>
      </c>
      <c r="J61" s="192"/>
      <c r="K61" s="192"/>
      <c r="L61" s="192"/>
      <c r="M61" s="192"/>
      <c r="N61" s="104" t="s">
        <v>119</v>
      </c>
      <c r="O61" s="80"/>
    </row>
    <row r="62" spans="1:15" ht="47.25" customHeight="1" x14ac:dyDescent="0.3">
      <c r="A62" s="80"/>
      <c r="B62" s="104" t="s">
        <v>119</v>
      </c>
      <c r="C62" s="110">
        <v>2</v>
      </c>
      <c r="D62" s="111" t="s">
        <v>128</v>
      </c>
      <c r="E62" s="193" t="s">
        <v>129</v>
      </c>
      <c r="F62" s="193"/>
      <c r="G62" s="193"/>
      <c r="H62" s="193"/>
      <c r="I62" s="194" t="s">
        <v>130</v>
      </c>
      <c r="J62" s="194"/>
      <c r="K62" s="194"/>
      <c r="L62" s="194"/>
      <c r="M62" s="194"/>
      <c r="N62" s="104" t="s">
        <v>119</v>
      </c>
      <c r="O62" s="80"/>
    </row>
    <row r="63" spans="1:15" ht="42" customHeight="1" x14ac:dyDescent="0.3">
      <c r="A63" s="80"/>
      <c r="B63" s="104" t="s">
        <v>119</v>
      </c>
      <c r="C63" s="108">
        <v>3</v>
      </c>
      <c r="D63" s="109" t="s">
        <v>131</v>
      </c>
      <c r="E63" s="191" t="s">
        <v>132</v>
      </c>
      <c r="F63" s="191"/>
      <c r="G63" s="191"/>
      <c r="H63" s="191"/>
      <c r="I63" s="192" t="s">
        <v>133</v>
      </c>
      <c r="J63" s="192"/>
      <c r="K63" s="192"/>
      <c r="L63" s="192"/>
      <c r="M63" s="192"/>
      <c r="N63" s="104" t="s">
        <v>119</v>
      </c>
      <c r="O63" s="80"/>
    </row>
    <row r="64" spans="1:15" ht="42" customHeight="1" x14ac:dyDescent="0.3">
      <c r="A64" s="80"/>
      <c r="B64" s="104" t="s">
        <v>119</v>
      </c>
      <c r="C64" s="110">
        <v>4</v>
      </c>
      <c r="D64" s="111" t="s">
        <v>134</v>
      </c>
      <c r="E64" s="193" t="s">
        <v>135</v>
      </c>
      <c r="F64" s="193"/>
      <c r="G64" s="193"/>
      <c r="H64" s="193"/>
      <c r="I64" s="194" t="s">
        <v>136</v>
      </c>
      <c r="J64" s="194"/>
      <c r="K64" s="194"/>
      <c r="L64" s="194"/>
      <c r="M64" s="194"/>
      <c r="N64" s="104" t="s">
        <v>119</v>
      </c>
      <c r="O64" s="80"/>
    </row>
    <row r="65" spans="1:15" ht="36" customHeight="1" x14ac:dyDescent="0.3">
      <c r="A65" s="80"/>
      <c r="B65" s="104" t="s">
        <v>119</v>
      </c>
      <c r="C65" s="108">
        <v>5</v>
      </c>
      <c r="D65" s="109" t="s">
        <v>137</v>
      </c>
      <c r="E65" s="191" t="s">
        <v>138</v>
      </c>
      <c r="F65" s="191"/>
      <c r="G65" s="191"/>
      <c r="H65" s="191"/>
      <c r="I65" s="192" t="s">
        <v>139</v>
      </c>
      <c r="J65" s="192"/>
      <c r="K65" s="192"/>
      <c r="L65" s="192"/>
      <c r="M65" s="192"/>
      <c r="N65" s="104" t="s">
        <v>119</v>
      </c>
      <c r="O65" s="80"/>
    </row>
    <row r="66" spans="1:15" ht="15.75" customHeight="1" x14ac:dyDescent="0.3">
      <c r="A66" s="80"/>
      <c r="B66" s="104" t="s">
        <v>119</v>
      </c>
      <c r="C66" s="104" t="s">
        <v>119</v>
      </c>
      <c r="D66" s="104" t="s">
        <v>119</v>
      </c>
      <c r="E66" s="104" t="s">
        <v>119</v>
      </c>
      <c r="F66" s="104" t="s">
        <v>119</v>
      </c>
      <c r="G66" s="104" t="s">
        <v>119</v>
      </c>
      <c r="H66" s="104" t="s">
        <v>119</v>
      </c>
      <c r="I66" s="104" t="s">
        <v>119</v>
      </c>
      <c r="J66" s="104" t="s">
        <v>119</v>
      </c>
      <c r="K66" s="104" t="s">
        <v>119</v>
      </c>
      <c r="L66" s="104"/>
      <c r="M66" s="104" t="s">
        <v>119</v>
      </c>
      <c r="N66" s="104" t="s">
        <v>119</v>
      </c>
      <c r="O66" s="80"/>
    </row>
    <row r="67" spans="1:15" ht="15.75" customHeight="1" x14ac:dyDescent="0.3">
      <c r="A67" s="80"/>
      <c r="B67" s="44"/>
      <c r="C67" s="44"/>
      <c r="D67" s="44"/>
      <c r="E67" s="44"/>
      <c r="F67" s="44"/>
      <c r="G67" s="44"/>
      <c r="H67" s="44"/>
      <c r="I67" s="44"/>
      <c r="J67" s="44"/>
      <c r="K67" s="44"/>
      <c r="L67" s="44"/>
      <c r="M67" s="44"/>
      <c r="N67" s="44"/>
      <c r="O67" s="80"/>
    </row>
    <row r="68" spans="1:15" ht="15.75" customHeight="1" x14ac:dyDescent="0.3"/>
    <row r="69" spans="1:15" ht="15.75" customHeight="1" x14ac:dyDescent="0.3"/>
    <row r="70" spans="1:15" ht="15.75" customHeight="1" x14ac:dyDescent="0.3"/>
    <row r="71" spans="1:15" ht="15.75" customHeight="1" x14ac:dyDescent="0.3"/>
    <row r="72" spans="1:15" ht="15.75" customHeight="1" x14ac:dyDescent="0.3"/>
    <row r="73" spans="1:15" ht="15.75" customHeight="1" x14ac:dyDescent="0.3"/>
    <row r="74" spans="1:15" ht="15.75" customHeight="1" x14ac:dyDescent="0.3"/>
    <row r="75" spans="1:15" ht="15.75" customHeight="1" x14ac:dyDescent="0.3"/>
    <row r="76" spans="1:15" ht="15.75" customHeight="1" x14ac:dyDescent="0.3"/>
    <row r="77" spans="1:15" ht="15.75" customHeight="1" x14ac:dyDescent="0.3"/>
    <row r="78" spans="1:15" ht="15.75" customHeight="1" x14ac:dyDescent="0.3"/>
    <row r="79" spans="1:15" ht="15.75" customHeight="1" x14ac:dyDescent="0.3"/>
    <row r="80" spans="1:15"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row r="1017" ht="15.75" customHeight="1" x14ac:dyDescent="0.3"/>
    <row r="1018" ht="15.75" customHeight="1" x14ac:dyDescent="0.3"/>
    <row r="1019" ht="15.75" customHeight="1" x14ac:dyDescent="0.3"/>
  </sheetData>
  <protectedRanges>
    <protectedRange algorithmName="SHA-512" hashValue="NcQe0VjxFnxU9SziGkmWOoYUYoQ0T62vv+WqFE1sowJD2+jDiq1RKEMS6wObDPCk433k/JG1CTU3j62rwNOzdg==" saltValue="OlYFZTFPx5QDCqKlqXj8fw==" spinCount="100000" sqref="Q39" name="Range1_2_1_7_1"/>
    <protectedRange algorithmName="SHA-512" hashValue="NcQe0VjxFnxU9SziGkmWOoYUYoQ0T62vv+WqFE1sowJD2+jDiq1RKEMS6wObDPCk433k/JG1CTU3j62rwNOzdg==" saltValue="OlYFZTFPx5QDCqKlqXj8fw==" spinCount="100000" sqref="Q21:V21" name="Range1_2_1_7_3"/>
  </protectedRanges>
  <mergeCells count="80">
    <mergeCell ref="N41:N42"/>
    <mergeCell ref="D28:E28"/>
    <mergeCell ref="D26:E26"/>
    <mergeCell ref="D30:E30"/>
    <mergeCell ref="D20:E20"/>
    <mergeCell ref="G20:K20"/>
    <mergeCell ref="G22:H22"/>
    <mergeCell ref="G23:H23"/>
    <mergeCell ref="E65:H65"/>
    <mergeCell ref="I65:M65"/>
    <mergeCell ref="C44:E44"/>
    <mergeCell ref="D32:E32"/>
    <mergeCell ref="D36:E36"/>
    <mergeCell ref="D40:E40"/>
    <mergeCell ref="D37:K37"/>
    <mergeCell ref="D35:E35"/>
    <mergeCell ref="D39:E39"/>
    <mergeCell ref="D33:K33"/>
    <mergeCell ref="D34:E34"/>
    <mergeCell ref="D38:E38"/>
    <mergeCell ref="K41:K42"/>
    <mergeCell ref="L41:L42"/>
    <mergeCell ref="M41:M42"/>
    <mergeCell ref="I62:M62"/>
    <mergeCell ref="E63:H63"/>
    <mergeCell ref="I63:M63"/>
    <mergeCell ref="E64:H64"/>
    <mergeCell ref="I64:M64"/>
    <mergeCell ref="D25:K25"/>
    <mergeCell ref="D27:E27"/>
    <mergeCell ref="D31:E31"/>
    <mergeCell ref="D29:K29"/>
    <mergeCell ref="E62:H62"/>
    <mergeCell ref="E55:K55"/>
    <mergeCell ref="E56:K56"/>
    <mergeCell ref="E60:H60"/>
    <mergeCell ref="E61:H61"/>
    <mergeCell ref="I61:M61"/>
    <mergeCell ref="C59:E59"/>
    <mergeCell ref="E51:K51"/>
    <mergeCell ref="C2:D2"/>
    <mergeCell ref="M3:M7"/>
    <mergeCell ref="F2:K2"/>
    <mergeCell ref="M15:M16"/>
    <mergeCell ref="L3:L7"/>
    <mergeCell ref="C3:D3"/>
    <mergeCell ref="C4:D4"/>
    <mergeCell ref="C5:D5"/>
    <mergeCell ref="C6:D6"/>
    <mergeCell ref="D13:K13"/>
    <mergeCell ref="C7:D7"/>
    <mergeCell ref="F3:K7"/>
    <mergeCell ref="N3:N7"/>
    <mergeCell ref="C10:M10"/>
    <mergeCell ref="G11:K11"/>
    <mergeCell ref="D16:E16"/>
    <mergeCell ref="D15:E15"/>
    <mergeCell ref="D14:E14"/>
    <mergeCell ref="G14:K14"/>
    <mergeCell ref="G15:K15"/>
    <mergeCell ref="G16:K16"/>
    <mergeCell ref="D17:K17"/>
    <mergeCell ref="D18:E18"/>
    <mergeCell ref="G18:K18"/>
    <mergeCell ref="D19:E19"/>
    <mergeCell ref="G19:K19"/>
    <mergeCell ref="E52:K52"/>
    <mergeCell ref="E53:K53"/>
    <mergeCell ref="E54:K54"/>
    <mergeCell ref="D21:K21"/>
    <mergeCell ref="D23:E23"/>
    <mergeCell ref="D24:E24"/>
    <mergeCell ref="G24:H24"/>
    <mergeCell ref="E46:K46"/>
    <mergeCell ref="E47:K47"/>
    <mergeCell ref="E48:K48"/>
    <mergeCell ref="E49:K49"/>
    <mergeCell ref="E50:K50"/>
    <mergeCell ref="E45:I45"/>
    <mergeCell ref="D22:E22"/>
  </mergeCells>
  <conditionalFormatting sqref="L15 L27">
    <cfRule type="cellIs" dxfId="41" priority="63" operator="equal">
      <formula>"EXCELLENT"</formula>
    </cfRule>
    <cfRule type="cellIs" dxfId="40" priority="64" operator="equal">
      <formula>"GOOD"</formula>
    </cfRule>
    <cfRule type="cellIs" dxfId="39" priority="65" operator="equal">
      <formula>"SUFFICIENT"</formula>
    </cfRule>
    <cfRule type="cellIs" dxfId="38" priority="66" operator="equal">
      <formula>"INSUFFICIENT"</formula>
    </cfRule>
    <cfRule type="cellIs" dxfId="37" priority="67" operator="equal">
      <formula>"MISSING"</formula>
    </cfRule>
    <cfRule type="cellIs" dxfId="36" priority="68" operator="equal">
      <formula>"POOR"</formula>
    </cfRule>
  </conditionalFormatting>
  <conditionalFormatting sqref="L19">
    <cfRule type="cellIs" dxfId="35" priority="8" operator="equal">
      <formula>"EXCELLENT"</formula>
    </cfRule>
    <cfRule type="cellIs" dxfId="34" priority="9" operator="equal">
      <formula>"GOOD"</formula>
    </cfRule>
    <cfRule type="cellIs" dxfId="33" priority="10" operator="equal">
      <formula>"SUFFICIENT"</formula>
    </cfRule>
    <cfRule type="cellIs" dxfId="32" priority="11" operator="equal">
      <formula>"INSUFFICIENT"</formula>
    </cfRule>
    <cfRule type="cellIs" dxfId="31" priority="12" operator="equal">
      <formula>"MISSING"</formula>
    </cfRule>
    <cfRule type="cellIs" dxfId="30" priority="13" operator="equal">
      <formula>"POOR"</formula>
    </cfRule>
  </conditionalFormatting>
  <conditionalFormatting sqref="L23">
    <cfRule type="cellIs" dxfId="29" priority="2" operator="equal">
      <formula>"EXCELLENT"</formula>
    </cfRule>
    <cfRule type="cellIs" dxfId="28" priority="3" operator="equal">
      <formula>"GOOD"</formula>
    </cfRule>
    <cfRule type="cellIs" dxfId="27" priority="4" operator="equal">
      <formula>"SUFFICIENT"</formula>
    </cfRule>
    <cfRule type="cellIs" dxfId="26" priority="5" operator="equal">
      <formula>"INSUFFICIENT"</formula>
    </cfRule>
    <cfRule type="cellIs" dxfId="25" priority="6" operator="equal">
      <formula>"MISSING"</formula>
    </cfRule>
    <cfRule type="cellIs" dxfId="24" priority="7" operator="equal">
      <formula>"POOR"</formula>
    </cfRule>
  </conditionalFormatting>
  <conditionalFormatting sqref="L31">
    <cfRule type="cellIs" dxfId="23" priority="42" operator="equal">
      <formula>"EXCELLENT"</formula>
    </cfRule>
    <cfRule type="cellIs" dxfId="22" priority="43" operator="equal">
      <formula>"GOOD"</formula>
    </cfRule>
    <cfRule type="cellIs" dxfId="21" priority="44" operator="equal">
      <formula>"SUFFICIENT"</formula>
    </cfRule>
    <cfRule type="cellIs" dxfId="20" priority="45" operator="equal">
      <formula>"INSUFFICIENT"</formula>
    </cfRule>
    <cfRule type="cellIs" dxfId="19" priority="46" operator="equal">
      <formula>"MISSING"</formula>
    </cfRule>
    <cfRule type="cellIs" dxfId="18" priority="47" operator="equal">
      <formula>"POOR"</formula>
    </cfRule>
  </conditionalFormatting>
  <conditionalFormatting sqref="L35">
    <cfRule type="cellIs" dxfId="17" priority="36" operator="equal">
      <formula>"EXCELLENT"</formula>
    </cfRule>
    <cfRule type="cellIs" dxfId="16" priority="37" operator="equal">
      <formula>"GOOD"</formula>
    </cfRule>
    <cfRule type="cellIs" dxfId="15" priority="38" operator="equal">
      <formula>"SUFFICIENT"</formula>
    </cfRule>
    <cfRule type="cellIs" dxfId="14" priority="39" operator="equal">
      <formula>"INSUFFICIENT"</formula>
    </cfRule>
    <cfRule type="cellIs" dxfId="13" priority="40" operator="equal">
      <formula>"MISSING"</formula>
    </cfRule>
    <cfRule type="cellIs" dxfId="12" priority="41" operator="equal">
      <formula>"POOR"</formula>
    </cfRule>
  </conditionalFormatting>
  <conditionalFormatting sqref="L39">
    <cfRule type="cellIs" dxfId="11" priority="30" operator="equal">
      <formula>"EXCELLENT"</formula>
    </cfRule>
    <cfRule type="cellIs" dxfId="10" priority="31" operator="equal">
      <formula>"GOOD"</formula>
    </cfRule>
    <cfRule type="cellIs" dxfId="9" priority="32" operator="equal">
      <formula>"SUFFICIENT"</formula>
    </cfRule>
    <cfRule type="cellIs" dxfId="8" priority="33" operator="equal">
      <formula>"INSUFFICIENT"</formula>
    </cfRule>
    <cfRule type="cellIs" dxfId="7" priority="34" operator="equal">
      <formula>"MISSING"</formula>
    </cfRule>
    <cfRule type="cellIs" dxfId="6" priority="35" operator="equal">
      <formula>"POOR"</formula>
    </cfRule>
  </conditionalFormatting>
  <conditionalFormatting sqref="M3">
    <cfRule type="containsText" dxfId="5" priority="60" operator="containsText" text="FAIL">
      <formula>NOT(ISERROR(SEARCH(("FAIL"),(M3))))</formula>
    </cfRule>
    <cfRule type="cellIs" dxfId="4" priority="61" operator="equal">
      <formula>"PASS"</formula>
    </cfRule>
    <cfRule type="cellIs" dxfId="3" priority="62" operator="equal">
      <formula>"M/O"</formula>
    </cfRule>
  </conditionalFormatting>
  <conditionalFormatting sqref="N3:N7">
    <cfRule type="expression" dxfId="2" priority="14" stopIfTrue="1">
      <formula>$L$3&gt;5.5</formula>
    </cfRule>
    <cfRule type="expression" dxfId="1" priority="15" stopIfTrue="1">
      <formula>($L$3&lt;5.5) &amp; ($L$3&gt;0)</formula>
    </cfRule>
    <cfRule type="expression" dxfId="0" priority="16" stopIfTrue="1">
      <formula>$L$3=0</formula>
    </cfRule>
  </conditionalFormatting>
  <dataValidations count="6">
    <dataValidation type="list" allowBlank="1" showInputMessage="1" showErrorMessage="1" sqref="F36 F28 F32 F40 F24 F16 F20" xr:uid="{14B35E3B-81CC-CB4A-95B5-B70395F53423}">
      <formula1>"Yes,No"</formula1>
    </dataValidation>
    <dataValidation type="list" allowBlank="1" showInputMessage="1" showErrorMessage="1" sqref="G40:K40 J32:K32 I24:K24 G28:K28" xr:uid="{E3959B74-88BC-9141-B9E9-89DAAC3F2A96}">
      <formula1>"0,1,2"</formula1>
    </dataValidation>
    <dataValidation type="list" allowBlank="1" showInputMessage="1" showErrorMessage="1" sqref="G36:K36 G32:H32" xr:uid="{CEFE049B-AC60-A643-953D-CFAD159C4A72}">
      <formula1>"0,1,2,3"</formula1>
    </dataValidation>
    <dataValidation type="list" allowBlank="1" showInputMessage="1" showErrorMessage="1" sqref="G16:K16 G20:K20" xr:uid="{DBE928FA-5FE8-3448-A816-DA79C5303277}">
      <formula1>"0,1,2,3,4,5,6,7,8,9,10"</formula1>
    </dataValidation>
    <dataValidation type="list" allowBlank="1" showInputMessage="1" showErrorMessage="1" sqref="I32" xr:uid="{9F79515A-BFE5-48CD-9207-1F52633DADEB}">
      <formula1>"0,1,2,3,4,5"</formula1>
    </dataValidation>
    <dataValidation type="list" allowBlank="1" showInputMessage="1" showErrorMessage="1" sqref="G24:H24" xr:uid="{2DCE2458-D06B-44CF-B46B-5EE730CB9D6C}">
      <formula1>"0,1,2,3,4"</formula1>
    </dataValidation>
  </dataValidations>
  <printOptions horizontalCentered="1" gridLines="1"/>
  <pageMargins left="0.25" right="0.25" top="0.75" bottom="0.75" header="0" footer="0"/>
  <pageSetup paperSize="9" pageOrder="overThenDown" orientation="portrait" cellComments="atEnd"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0"/>
  <sheetViews>
    <sheetView workbookViewId="0"/>
  </sheetViews>
  <sheetFormatPr defaultColWidth="12.44140625" defaultRowHeight="15" customHeight="1" x14ac:dyDescent="0.25"/>
  <cols>
    <col min="1" max="6" width="14.44140625" customWidth="1"/>
    <col min="7" max="7" width="18.109375" customWidth="1"/>
    <col min="8" max="8" width="14.44140625" customWidth="1"/>
    <col min="9" max="9" width="16.109375" customWidth="1"/>
    <col min="10" max="26" width="14.44140625" customWidth="1"/>
  </cols>
  <sheetData>
    <row r="1" spans="1:20" ht="15.75" customHeight="1" x14ac:dyDescent="0.25"/>
    <row r="2" spans="1:20" ht="15.75" customHeight="1" x14ac:dyDescent="0.25">
      <c r="A2" s="1" t="s">
        <v>140</v>
      </c>
      <c r="B2" s="214" t="s">
        <v>141</v>
      </c>
      <c r="C2" s="212"/>
      <c r="D2" s="212"/>
      <c r="G2" s="2"/>
      <c r="H2" s="31" t="s">
        <v>142</v>
      </c>
      <c r="I2" s="31" t="s">
        <v>143</v>
      </c>
      <c r="J2" s="31" t="s">
        <v>144</v>
      </c>
      <c r="K2" s="31" t="s">
        <v>145</v>
      </c>
      <c r="L2" s="31" t="s">
        <v>146</v>
      </c>
      <c r="M2" s="31" t="s">
        <v>147</v>
      </c>
    </row>
    <row r="3" spans="1:20" ht="15.75" customHeight="1" x14ac:dyDescent="0.3">
      <c r="B3" s="32"/>
      <c r="C3" s="32"/>
      <c r="D3" s="32"/>
      <c r="F3" s="1"/>
      <c r="G3" s="3"/>
      <c r="H3" s="3"/>
      <c r="I3" s="3"/>
      <c r="J3" s="3"/>
      <c r="K3" s="3"/>
      <c r="L3" s="3"/>
      <c r="M3" s="3"/>
      <c r="N3" s="3"/>
      <c r="O3" s="3"/>
      <c r="P3" s="3"/>
      <c r="Q3" s="3"/>
      <c r="R3" s="3"/>
      <c r="S3" s="3"/>
      <c r="T3" s="2"/>
    </row>
    <row r="4" spans="1:20" ht="15.75" customHeight="1" x14ac:dyDescent="0.3">
      <c r="B4" s="32"/>
      <c r="C4" s="32"/>
      <c r="D4" s="32"/>
      <c r="F4" s="1"/>
      <c r="G4" s="3"/>
      <c r="H4" s="3"/>
      <c r="I4" s="3"/>
      <c r="J4" s="3"/>
      <c r="K4" s="3"/>
      <c r="L4" s="3"/>
      <c r="M4" s="3"/>
      <c r="N4" s="3"/>
      <c r="O4" s="3"/>
      <c r="P4" s="3"/>
      <c r="Q4" s="3"/>
      <c r="R4" s="3"/>
      <c r="S4" s="3"/>
      <c r="T4" s="2"/>
    </row>
    <row r="5" spans="1:20" ht="15.75" customHeight="1" x14ac:dyDescent="0.3">
      <c r="B5" s="211" t="s">
        <v>148</v>
      </c>
      <c r="C5" s="212"/>
      <c r="D5" s="212"/>
      <c r="F5" s="1">
        <v>6.1</v>
      </c>
      <c r="G5" s="3" t="s">
        <v>149</v>
      </c>
      <c r="H5" s="3" t="s">
        <v>150</v>
      </c>
      <c r="I5" s="3" t="s">
        <v>151</v>
      </c>
      <c r="J5" s="3" t="s">
        <v>152</v>
      </c>
      <c r="K5" s="3" t="s">
        <v>153</v>
      </c>
      <c r="L5" s="3" t="s">
        <v>154</v>
      </c>
      <c r="M5" s="3" t="s">
        <v>155</v>
      </c>
      <c r="N5" s="3" t="e">
        <f ca="1">_xludf.CONCAT(M5,M6)</f>
        <v>#NAME?</v>
      </c>
      <c r="O5" s="3" t="e">
        <f ca="1">_xludf.CONCAT(L5,L6)</f>
        <v>#NAME?</v>
      </c>
      <c r="P5" s="3" t="e">
        <f ca="1">_xludf.CONCAT(K5,K6)</f>
        <v>#NAME?</v>
      </c>
      <c r="Q5" s="3" t="e">
        <f ca="1">_xludf.CONCAT(J5,J6)</f>
        <v>#NAME?</v>
      </c>
      <c r="R5" s="3" t="e">
        <f ca="1">_xludf.CONCAT(I5,I6)</f>
        <v>#NAME?</v>
      </c>
      <c r="S5" s="3" t="e">
        <f ca="1">_xludf.CONCAT(H5,H6)</f>
        <v>#NAME?</v>
      </c>
      <c r="T5" s="2"/>
    </row>
    <row r="6" spans="1:20" ht="15.75" customHeight="1" x14ac:dyDescent="0.3">
      <c r="B6" s="32"/>
      <c r="C6" s="32"/>
      <c r="D6" s="32"/>
      <c r="G6" s="3"/>
      <c r="H6" s="3" t="s">
        <v>156</v>
      </c>
      <c r="I6" s="33" t="s">
        <v>157</v>
      </c>
      <c r="J6" s="3" t="s">
        <v>158</v>
      </c>
      <c r="K6" s="3" t="s">
        <v>159</v>
      </c>
      <c r="L6" s="3" t="s">
        <v>160</v>
      </c>
      <c r="M6" s="3" t="s">
        <v>161</v>
      </c>
      <c r="N6" s="2"/>
      <c r="O6" s="2"/>
      <c r="P6" s="2"/>
      <c r="Q6" s="2"/>
      <c r="R6" s="2"/>
      <c r="S6" s="2"/>
      <c r="T6" s="2"/>
    </row>
    <row r="7" spans="1:20" ht="15.75" customHeight="1" x14ac:dyDescent="0.3">
      <c r="B7" s="211" t="s">
        <v>162</v>
      </c>
      <c r="C7" s="212"/>
      <c r="D7" s="212"/>
      <c r="F7" s="1">
        <v>6.2</v>
      </c>
      <c r="G7" s="2" t="s">
        <v>163</v>
      </c>
      <c r="H7" s="34" t="s">
        <v>164</v>
      </c>
      <c r="I7" s="35" t="s">
        <v>165</v>
      </c>
      <c r="J7" s="35" t="s">
        <v>166</v>
      </c>
      <c r="K7" s="35" t="s">
        <v>167</v>
      </c>
      <c r="L7" s="36" t="s">
        <v>168</v>
      </c>
      <c r="M7" s="37" t="s">
        <v>169</v>
      </c>
      <c r="N7" s="3" t="e">
        <f ca="1">_xludf.CONCAT(M7,M8)</f>
        <v>#NAME?</v>
      </c>
      <c r="O7" s="3" t="e">
        <f ca="1">_xludf.CONCAT(L7,L8)</f>
        <v>#NAME?</v>
      </c>
      <c r="P7" s="3" t="e">
        <f ca="1">_xludf.CONCAT(K7,K8)</f>
        <v>#NAME?</v>
      </c>
      <c r="Q7" s="3" t="e">
        <f ca="1">_xludf.CONCAT(J7,J8)</f>
        <v>#NAME?</v>
      </c>
      <c r="R7" s="3" t="e">
        <f ca="1">_xludf.CONCAT(I7,I8)</f>
        <v>#NAME?</v>
      </c>
      <c r="S7" s="3" t="e">
        <f ca="1">_xludf.CONCAT(H7,H8)</f>
        <v>#NAME?</v>
      </c>
      <c r="T7" s="3"/>
    </row>
    <row r="8" spans="1:20" ht="15.75" customHeight="1" x14ac:dyDescent="0.3">
      <c r="B8" s="211" t="s">
        <v>170</v>
      </c>
      <c r="C8" s="212"/>
      <c r="D8" s="212"/>
      <c r="G8" s="2"/>
      <c r="H8" s="38" t="s">
        <v>156</v>
      </c>
      <c r="I8" s="35" t="s">
        <v>171</v>
      </c>
      <c r="J8" s="36" t="s">
        <v>172</v>
      </c>
      <c r="K8" s="37" t="s">
        <v>173</v>
      </c>
      <c r="L8" s="37" t="s">
        <v>174</v>
      </c>
      <c r="M8" s="37" t="s">
        <v>175</v>
      </c>
      <c r="N8" s="3"/>
      <c r="O8" s="3"/>
      <c r="P8" s="3"/>
      <c r="Q8" s="3"/>
      <c r="R8" s="3"/>
      <c r="S8" s="3"/>
      <c r="T8" s="3"/>
    </row>
    <row r="9" spans="1:20" ht="15.75" customHeight="1" x14ac:dyDescent="0.25">
      <c r="G9" s="1"/>
      <c r="H9" s="2"/>
      <c r="I9" s="1"/>
      <c r="J9" s="1"/>
      <c r="L9" s="1"/>
      <c r="M9" s="1"/>
    </row>
    <row r="10" spans="1:20" ht="15.75" customHeight="1" x14ac:dyDescent="0.25">
      <c r="G10" s="1"/>
      <c r="H10" s="2"/>
      <c r="I10" s="1"/>
      <c r="J10" s="1"/>
      <c r="K10" s="1"/>
      <c r="L10" s="1"/>
      <c r="M10" s="39"/>
    </row>
    <row r="11" spans="1:20" ht="15.75" customHeight="1" x14ac:dyDescent="0.25">
      <c r="G11" s="1"/>
      <c r="H11" s="2"/>
      <c r="I11" s="1"/>
      <c r="J11" s="1"/>
      <c r="K11" s="1"/>
      <c r="L11" s="1"/>
      <c r="M11" s="39"/>
    </row>
    <row r="12" spans="1:20" ht="15.75" customHeight="1" x14ac:dyDescent="0.25">
      <c r="G12" s="1"/>
      <c r="H12" s="2"/>
      <c r="I12" s="1"/>
      <c r="J12" s="1"/>
      <c r="K12" s="1"/>
      <c r="L12" s="1"/>
      <c r="M12" s="39"/>
    </row>
    <row r="13" spans="1:20" ht="15.75" customHeight="1" x14ac:dyDescent="0.3">
      <c r="B13" s="213"/>
      <c r="C13" s="212"/>
      <c r="D13" s="212"/>
      <c r="G13" s="1"/>
      <c r="H13" s="2" t="s">
        <v>176</v>
      </c>
      <c r="I13" s="1" t="s">
        <v>177</v>
      </c>
      <c r="J13" s="1" t="s">
        <v>178</v>
      </c>
      <c r="K13" s="1" t="s">
        <v>179</v>
      </c>
      <c r="L13" s="1" t="s">
        <v>180</v>
      </c>
      <c r="M13" s="39" t="s">
        <v>181</v>
      </c>
    </row>
    <row r="14" spans="1:20" ht="70.5" customHeight="1" x14ac:dyDescent="0.3">
      <c r="B14" s="211" t="s">
        <v>182</v>
      </c>
      <c r="C14" s="212"/>
      <c r="D14" s="212"/>
      <c r="F14" s="1">
        <v>3.1</v>
      </c>
      <c r="G14" s="4"/>
      <c r="H14" s="34" t="s">
        <v>164</v>
      </c>
      <c r="I14" s="2" t="s">
        <v>183</v>
      </c>
      <c r="J14" s="2" t="s">
        <v>184</v>
      </c>
      <c r="K14" s="2" t="s">
        <v>185</v>
      </c>
      <c r="L14" s="2" t="s">
        <v>186</v>
      </c>
      <c r="M14" s="2" t="s">
        <v>187</v>
      </c>
      <c r="N14" s="3" t="e">
        <f ca="1">_xludf.CONCAT(M14,M15)</f>
        <v>#NAME?</v>
      </c>
      <c r="O14" s="3" t="e">
        <f ca="1">_xludf.CONCAT(L14,L15)</f>
        <v>#NAME?</v>
      </c>
      <c r="P14" s="3" t="e">
        <f ca="1">_xludf.CONCAT(K14,K15)</f>
        <v>#NAME?</v>
      </c>
      <c r="Q14" s="3" t="e">
        <f ca="1">_xludf.CONCAT(J14,J15)</f>
        <v>#NAME?</v>
      </c>
      <c r="R14" s="3" t="e">
        <f ca="1">_xludf.CONCAT(I14,I15)</f>
        <v>#NAME?</v>
      </c>
      <c r="S14" s="3" t="e">
        <f ca="1">_xludf.CONCAT(H14,H15)</f>
        <v>#NAME?</v>
      </c>
    </row>
    <row r="15" spans="1:20" ht="66.75" customHeight="1" x14ac:dyDescent="0.25">
      <c r="B15" s="40"/>
      <c r="G15" s="4" t="s">
        <v>188</v>
      </c>
      <c r="H15" s="38" t="s">
        <v>156</v>
      </c>
      <c r="I15" s="2" t="s">
        <v>189</v>
      </c>
      <c r="J15" s="2" t="s">
        <v>190</v>
      </c>
      <c r="K15" s="2" t="s">
        <v>191</v>
      </c>
      <c r="L15" s="2" t="s">
        <v>192</v>
      </c>
      <c r="M15" s="2" t="s">
        <v>193</v>
      </c>
    </row>
    <row r="16" spans="1:20" ht="15.75" customHeight="1" x14ac:dyDescent="0.25">
      <c r="G16" s="1"/>
      <c r="H16" s="2"/>
      <c r="I16" s="2"/>
      <c r="J16" s="2"/>
      <c r="K16" s="2"/>
      <c r="L16" s="2"/>
      <c r="M16" s="41"/>
    </row>
    <row r="17" spans="2:19" ht="15.75" customHeight="1" x14ac:dyDescent="0.25">
      <c r="G17" s="1"/>
      <c r="H17" s="2"/>
      <c r="I17" s="2"/>
      <c r="J17" s="2"/>
      <c r="K17" s="2"/>
      <c r="L17" s="2"/>
      <c r="M17" s="2"/>
    </row>
    <row r="18" spans="2:19" ht="15.75" customHeight="1" x14ac:dyDescent="0.3">
      <c r="B18" s="211" t="s">
        <v>194</v>
      </c>
      <c r="C18" s="212"/>
      <c r="D18" s="212"/>
      <c r="F18" s="1">
        <v>3.2</v>
      </c>
      <c r="G18" s="1"/>
      <c r="H18" s="34" t="s">
        <v>164</v>
      </c>
      <c r="I18" s="2" t="s">
        <v>195</v>
      </c>
      <c r="J18" s="2" t="s">
        <v>196</v>
      </c>
      <c r="K18" s="2" t="s">
        <v>197</v>
      </c>
      <c r="L18" s="2" t="s">
        <v>198</v>
      </c>
      <c r="M18" s="2" t="s">
        <v>199</v>
      </c>
      <c r="N18" s="2" t="e">
        <f ca="1">_xludf.CONCAT(M18,M19)</f>
        <v>#NAME?</v>
      </c>
      <c r="O18" s="2" t="e">
        <f ca="1">_xludf.CONCAT(L18,L19)</f>
        <v>#NAME?</v>
      </c>
      <c r="P18" s="2" t="e">
        <f ca="1">_xludf.CONCAT(K18,K19)</f>
        <v>#NAME?</v>
      </c>
      <c r="Q18" s="2" t="e">
        <f ca="1">_xludf.CONCAT(J18,J19)</f>
        <v>#NAME?</v>
      </c>
      <c r="R18" s="2" t="e">
        <f ca="1">_xludf.CONCAT(I18,I19)</f>
        <v>#NAME?</v>
      </c>
      <c r="S18" s="2" t="e">
        <f ca="1">_xludf.CONCAT(H18,H19)</f>
        <v>#NAME?</v>
      </c>
    </row>
    <row r="19" spans="2:19" ht="15.75" customHeight="1" x14ac:dyDescent="0.25">
      <c r="G19" s="1"/>
      <c r="H19" s="38" t="s">
        <v>156</v>
      </c>
      <c r="I19" s="2"/>
      <c r="J19" s="2"/>
      <c r="K19" s="2" t="s">
        <v>200</v>
      </c>
      <c r="L19" s="2" t="s">
        <v>201</v>
      </c>
      <c r="M19" s="2"/>
    </row>
    <row r="20" spans="2:19" ht="15.75" customHeight="1" x14ac:dyDescent="0.25">
      <c r="G20" s="1"/>
      <c r="H20" s="2"/>
      <c r="I20" s="1"/>
      <c r="J20" s="1"/>
      <c r="K20" s="1"/>
      <c r="L20" s="1"/>
      <c r="M20" s="1"/>
    </row>
    <row r="21" spans="2:19" ht="15.75" customHeight="1" x14ac:dyDescent="0.25">
      <c r="G21" s="2"/>
      <c r="H21" s="2"/>
      <c r="I21" s="2"/>
      <c r="J21" s="2"/>
      <c r="K21" s="2"/>
      <c r="L21" s="2"/>
      <c r="M21" s="2"/>
    </row>
    <row r="22" spans="2:19" ht="15.75" customHeight="1" x14ac:dyDescent="0.25">
      <c r="G22" s="2"/>
      <c r="H22" s="2"/>
      <c r="I22" s="2"/>
      <c r="J22" s="2"/>
      <c r="K22" s="2"/>
      <c r="L22" s="2"/>
      <c r="M22" s="2"/>
    </row>
    <row r="23" spans="2:19" ht="15.75" customHeight="1" x14ac:dyDescent="0.25"/>
    <row r="24" spans="2:19" ht="15.75" customHeight="1" x14ac:dyDescent="0.25">
      <c r="H24" s="1" t="s">
        <v>202</v>
      </c>
      <c r="I24" s="1" t="s">
        <v>177</v>
      </c>
      <c r="J24" s="1" t="s">
        <v>203</v>
      </c>
      <c r="K24" s="1" t="s">
        <v>179</v>
      </c>
      <c r="L24" s="1" t="s">
        <v>204</v>
      </c>
      <c r="M24" s="1" t="s">
        <v>205</v>
      </c>
    </row>
    <row r="25" spans="2:19" ht="15.75" customHeight="1" x14ac:dyDescent="0.3">
      <c r="B25" s="213" t="s">
        <v>206</v>
      </c>
      <c r="C25" s="212"/>
      <c r="D25" s="212"/>
      <c r="G25" s="1" t="s">
        <v>207</v>
      </c>
      <c r="H25" s="3" t="s">
        <v>208</v>
      </c>
      <c r="I25" s="3" t="s">
        <v>209</v>
      </c>
      <c r="J25" s="3" t="s">
        <v>210</v>
      </c>
      <c r="K25" s="3" t="s">
        <v>211</v>
      </c>
      <c r="L25" s="3" t="s">
        <v>212</v>
      </c>
      <c r="M25" s="3" t="s">
        <v>213</v>
      </c>
    </row>
    <row r="26" spans="2:19" ht="15.75" customHeight="1" x14ac:dyDescent="0.25">
      <c r="G26" s="1" t="s">
        <v>214</v>
      </c>
    </row>
    <row r="27" spans="2:19" ht="15.75" customHeight="1" x14ac:dyDescent="0.25"/>
    <row r="28" spans="2:19" ht="15.75" customHeight="1" x14ac:dyDescent="0.25"/>
    <row r="29" spans="2:19" ht="15.75" customHeight="1" x14ac:dyDescent="0.25"/>
    <row r="30" spans="2:19" ht="15.75" customHeight="1" x14ac:dyDescent="0.25"/>
    <row r="31" spans="2:19" ht="15.75" customHeight="1" x14ac:dyDescent="0.25"/>
    <row r="32" spans="2: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B14:D14"/>
    <mergeCell ref="B18:D18"/>
    <mergeCell ref="B25:D25"/>
    <mergeCell ref="B2:D2"/>
    <mergeCell ref="B5:D5"/>
    <mergeCell ref="B7:D7"/>
    <mergeCell ref="B8:D8"/>
    <mergeCell ref="B13:D1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H2"/>
    </sheetView>
  </sheetViews>
  <sheetFormatPr defaultColWidth="12.44140625" defaultRowHeight="15" customHeight="1" x14ac:dyDescent="0.25"/>
  <cols>
    <col min="1" max="1" width="8.6640625" customWidth="1"/>
    <col min="2" max="2" width="23.6640625" customWidth="1"/>
    <col min="3" max="3" width="115.6640625" customWidth="1"/>
    <col min="4" max="4" width="15.44140625" customWidth="1"/>
    <col min="5" max="5" width="12.44140625" customWidth="1"/>
    <col min="6" max="6" width="13.6640625" customWidth="1"/>
    <col min="7" max="7" width="14.109375" customWidth="1"/>
    <col min="8" max="8" width="11.44140625" customWidth="1"/>
    <col min="9" max="26" width="8.6640625" customWidth="1"/>
  </cols>
  <sheetData>
    <row r="1" spans="1:26" ht="12.75" customHeight="1" x14ac:dyDescent="0.25">
      <c r="A1" s="215" t="s">
        <v>215</v>
      </c>
      <c r="B1" s="216"/>
      <c r="C1" s="216"/>
      <c r="D1" s="216"/>
      <c r="E1" s="216"/>
      <c r="F1" s="216"/>
      <c r="G1" s="216"/>
      <c r="H1" s="217"/>
      <c r="I1" s="5"/>
      <c r="J1" s="5"/>
      <c r="K1" s="5"/>
      <c r="L1" s="5"/>
      <c r="M1" s="5"/>
      <c r="N1" s="5"/>
      <c r="O1" s="5"/>
      <c r="P1" s="5"/>
      <c r="Q1" s="5"/>
      <c r="R1" s="5"/>
      <c r="S1" s="5"/>
      <c r="T1" s="5"/>
      <c r="U1" s="5"/>
      <c r="V1" s="5"/>
      <c r="W1" s="5"/>
      <c r="X1" s="5"/>
      <c r="Y1" s="5"/>
      <c r="Z1" s="5"/>
    </row>
    <row r="2" spans="1:26" ht="12.75" customHeight="1" x14ac:dyDescent="0.25">
      <c r="A2" s="218"/>
      <c r="B2" s="212"/>
      <c r="C2" s="212"/>
      <c r="D2" s="212"/>
      <c r="E2" s="212"/>
      <c r="F2" s="212"/>
      <c r="G2" s="212"/>
      <c r="H2" s="219"/>
      <c r="I2" s="5"/>
      <c r="J2" s="5"/>
      <c r="K2" s="5"/>
      <c r="L2" s="5"/>
      <c r="M2" s="5"/>
      <c r="N2" s="5"/>
      <c r="O2" s="5"/>
      <c r="P2" s="5"/>
      <c r="Q2" s="5"/>
      <c r="R2" s="5"/>
      <c r="S2" s="5"/>
      <c r="T2" s="5"/>
      <c r="U2" s="5"/>
      <c r="V2" s="5"/>
      <c r="W2" s="5"/>
      <c r="X2" s="5"/>
      <c r="Y2" s="5"/>
      <c r="Z2" s="5"/>
    </row>
    <row r="3" spans="1:26" ht="15.75" customHeight="1" x14ac:dyDescent="0.25">
      <c r="A3" s="220" t="s">
        <v>216</v>
      </c>
      <c r="B3" s="212"/>
      <c r="C3" s="42" t="s">
        <v>90</v>
      </c>
      <c r="D3" s="221" t="s">
        <v>120</v>
      </c>
      <c r="E3" s="212"/>
      <c r="F3" s="212"/>
      <c r="G3" s="212"/>
      <c r="H3" s="219"/>
      <c r="I3" s="5"/>
      <c r="J3" s="5"/>
      <c r="K3" s="222" t="s">
        <v>217</v>
      </c>
      <c r="L3" s="212"/>
      <c r="M3" s="212"/>
      <c r="N3" s="212"/>
      <c r="O3" s="43"/>
      <c r="P3" s="5"/>
      <c r="Q3" s="5"/>
      <c r="R3" s="5"/>
      <c r="S3" s="5"/>
      <c r="T3" s="5"/>
      <c r="U3" s="5"/>
      <c r="V3" s="5"/>
      <c r="W3" s="5"/>
      <c r="X3" s="5"/>
      <c r="Y3" s="5"/>
      <c r="Z3" s="5"/>
    </row>
    <row r="4" spans="1:26" ht="12.75" customHeight="1" x14ac:dyDescent="0.25">
      <c r="A4" s="6"/>
      <c r="B4" s="7"/>
      <c r="C4" s="7"/>
      <c r="D4" s="8">
        <v>1</v>
      </c>
      <c r="E4" s="9">
        <v>2</v>
      </c>
      <c r="F4" s="9">
        <v>3</v>
      </c>
      <c r="G4" s="9">
        <v>4</v>
      </c>
      <c r="H4" s="10">
        <v>5</v>
      </c>
      <c r="I4" s="5"/>
      <c r="J4" s="5"/>
      <c r="K4" s="5"/>
      <c r="L4" s="5"/>
      <c r="M4" s="5"/>
      <c r="N4" s="5"/>
      <c r="O4" s="5"/>
      <c r="P4" s="5"/>
      <c r="Q4" s="5"/>
      <c r="R4" s="5"/>
      <c r="S4" s="5"/>
      <c r="T4" s="5"/>
      <c r="U4" s="5"/>
      <c r="V4" s="5"/>
      <c r="W4" s="5"/>
      <c r="X4" s="5"/>
      <c r="Y4" s="5"/>
      <c r="Z4" s="5"/>
    </row>
    <row r="5" spans="1:26" ht="12.75" customHeight="1" x14ac:dyDescent="0.25">
      <c r="A5" s="11"/>
      <c r="B5" s="5"/>
      <c r="C5" s="5"/>
      <c r="D5" s="12" t="s">
        <v>218</v>
      </c>
      <c r="E5" s="13" t="s">
        <v>219</v>
      </c>
      <c r="F5" s="13" t="s">
        <v>131</v>
      </c>
      <c r="G5" s="13" t="s">
        <v>134</v>
      </c>
      <c r="H5" s="14" t="s">
        <v>137</v>
      </c>
      <c r="I5" s="5"/>
      <c r="J5" s="5"/>
      <c r="K5" s="5"/>
      <c r="L5" s="5"/>
      <c r="M5" s="5"/>
      <c r="N5" s="5"/>
      <c r="O5" s="5"/>
      <c r="P5" s="5"/>
      <c r="Q5" s="5"/>
      <c r="R5" s="5"/>
      <c r="S5" s="5"/>
      <c r="T5" s="5"/>
      <c r="U5" s="5"/>
      <c r="V5" s="5"/>
      <c r="W5" s="5"/>
      <c r="X5" s="5"/>
      <c r="Y5" s="5"/>
      <c r="Z5" s="5"/>
    </row>
    <row r="6" spans="1:26" ht="12.75" customHeight="1" x14ac:dyDescent="0.25">
      <c r="A6" s="11"/>
      <c r="B6" s="5"/>
      <c r="C6" s="5"/>
      <c r="D6" s="15"/>
      <c r="E6" s="16"/>
      <c r="F6" s="16"/>
      <c r="G6" s="16"/>
      <c r="H6" s="17"/>
      <c r="I6" s="5"/>
      <c r="J6" s="5"/>
      <c r="K6" s="5"/>
      <c r="L6" s="5"/>
      <c r="M6" s="5"/>
      <c r="N6" s="5"/>
      <c r="O6" s="5"/>
      <c r="P6" s="5"/>
      <c r="Q6" s="5"/>
      <c r="R6" s="5"/>
      <c r="S6" s="5"/>
      <c r="T6" s="5"/>
      <c r="U6" s="5"/>
      <c r="V6" s="5"/>
      <c r="W6" s="5"/>
      <c r="X6" s="5"/>
      <c r="Y6" s="5"/>
      <c r="Z6" s="5"/>
    </row>
    <row r="7" spans="1:26" ht="39.75" customHeight="1" x14ac:dyDescent="0.25">
      <c r="A7" s="18">
        <v>1</v>
      </c>
      <c r="B7" s="19" t="s">
        <v>100</v>
      </c>
      <c r="C7" s="19" t="s">
        <v>220</v>
      </c>
      <c r="D7" s="20" t="s">
        <v>221</v>
      </c>
      <c r="E7" s="21" t="s">
        <v>221</v>
      </c>
      <c r="F7" s="21" t="s">
        <v>221</v>
      </c>
      <c r="G7" s="20" t="s">
        <v>221</v>
      </c>
      <c r="H7" s="20" t="s">
        <v>221</v>
      </c>
      <c r="I7" s="22"/>
      <c r="J7" s="22"/>
      <c r="K7" s="22"/>
      <c r="L7" s="22"/>
      <c r="M7" s="22"/>
      <c r="N7" s="22"/>
      <c r="O7" s="22"/>
      <c r="P7" s="22"/>
      <c r="Q7" s="22"/>
      <c r="R7" s="22"/>
      <c r="S7" s="22"/>
      <c r="T7" s="22"/>
      <c r="U7" s="22"/>
      <c r="V7" s="22"/>
      <c r="W7" s="22"/>
      <c r="X7" s="22"/>
      <c r="Y7" s="22"/>
      <c r="Z7" s="22"/>
    </row>
    <row r="8" spans="1:26" ht="39.75" customHeight="1" x14ac:dyDescent="0.25">
      <c r="A8" s="18">
        <v>2</v>
      </c>
      <c r="B8" s="19" t="s">
        <v>102</v>
      </c>
      <c r="C8" s="19" t="s">
        <v>222</v>
      </c>
      <c r="D8" s="20" t="s">
        <v>221</v>
      </c>
      <c r="E8" s="21" t="s">
        <v>221</v>
      </c>
      <c r="F8" s="21" t="s">
        <v>221</v>
      </c>
      <c r="G8" s="20"/>
      <c r="H8" s="20" t="s">
        <v>221</v>
      </c>
      <c r="I8" s="22"/>
      <c r="J8" s="22"/>
      <c r="K8" s="22"/>
      <c r="L8" s="22"/>
      <c r="M8" s="22"/>
      <c r="N8" s="22"/>
      <c r="O8" s="22"/>
      <c r="P8" s="22"/>
      <c r="Q8" s="22"/>
      <c r="R8" s="22"/>
      <c r="S8" s="22"/>
      <c r="T8" s="22"/>
      <c r="U8" s="22"/>
      <c r="V8" s="22"/>
      <c r="W8" s="22"/>
      <c r="X8" s="22"/>
      <c r="Y8" s="22"/>
      <c r="Z8" s="22"/>
    </row>
    <row r="9" spans="1:26" ht="39.75" customHeight="1" x14ac:dyDescent="0.25">
      <c r="A9" s="23">
        <v>9</v>
      </c>
      <c r="B9" s="24" t="s">
        <v>93</v>
      </c>
      <c r="C9" s="25" t="s">
        <v>223</v>
      </c>
      <c r="D9" s="26" t="s">
        <v>221</v>
      </c>
      <c r="E9" s="27" t="s">
        <v>221</v>
      </c>
      <c r="F9" s="27" t="s">
        <v>221</v>
      </c>
      <c r="G9" s="26" t="s">
        <v>221</v>
      </c>
      <c r="H9" s="26"/>
      <c r="I9" s="22"/>
      <c r="J9" s="22"/>
      <c r="K9" s="22"/>
      <c r="L9" s="22"/>
      <c r="M9" s="22"/>
      <c r="N9" s="22"/>
      <c r="O9" s="22"/>
      <c r="P9" s="22"/>
      <c r="Q9" s="22"/>
      <c r="R9" s="22"/>
      <c r="S9" s="22"/>
      <c r="T9" s="22"/>
      <c r="U9" s="22"/>
      <c r="V9" s="22"/>
      <c r="W9" s="22"/>
      <c r="X9" s="22"/>
      <c r="Y9" s="22"/>
      <c r="Z9" s="22"/>
    </row>
    <row r="10" spans="1:26" ht="39.75" customHeight="1" x14ac:dyDescent="0.25">
      <c r="A10" s="23">
        <v>10</v>
      </c>
      <c r="B10" s="24" t="s">
        <v>95</v>
      </c>
      <c r="C10" s="25" t="s">
        <v>224</v>
      </c>
      <c r="D10" s="26" t="s">
        <v>221</v>
      </c>
      <c r="E10" s="27" t="s">
        <v>221</v>
      </c>
      <c r="F10" s="27" t="s">
        <v>221</v>
      </c>
      <c r="G10" s="26" t="s">
        <v>221</v>
      </c>
      <c r="H10" s="26" t="s">
        <v>221</v>
      </c>
      <c r="I10" s="22"/>
      <c r="J10" s="22"/>
      <c r="K10" s="22"/>
      <c r="L10" s="22"/>
      <c r="M10" s="22"/>
      <c r="N10" s="22"/>
      <c r="O10" s="22"/>
      <c r="P10" s="22"/>
      <c r="Q10" s="22"/>
      <c r="R10" s="22"/>
      <c r="S10" s="22"/>
      <c r="T10" s="22"/>
      <c r="U10" s="22"/>
      <c r="V10" s="22"/>
      <c r="W10" s="22"/>
      <c r="X10" s="22"/>
      <c r="Y10" s="22"/>
      <c r="Z10" s="22"/>
    </row>
    <row r="11" spans="1:26" ht="39.75" customHeight="1" x14ac:dyDescent="0.25">
      <c r="A11" s="28">
        <v>11</v>
      </c>
      <c r="B11" s="24" t="s">
        <v>97</v>
      </c>
      <c r="C11" s="25" t="s">
        <v>225</v>
      </c>
      <c r="D11" s="29" t="s">
        <v>221</v>
      </c>
      <c r="E11" s="30" t="s">
        <v>221</v>
      </c>
      <c r="F11" s="30" t="s">
        <v>221</v>
      </c>
      <c r="G11" s="29" t="s">
        <v>221</v>
      </c>
      <c r="H11" s="29" t="s">
        <v>221</v>
      </c>
      <c r="I11" s="5"/>
      <c r="J11" s="5"/>
      <c r="K11" s="5"/>
      <c r="L11" s="5"/>
      <c r="M11" s="5"/>
      <c r="N11" s="5"/>
      <c r="O11" s="5"/>
      <c r="P11" s="5"/>
      <c r="Q11" s="5"/>
      <c r="R11" s="5"/>
      <c r="S11" s="5"/>
      <c r="T11" s="5"/>
      <c r="U11" s="5"/>
      <c r="V11" s="5"/>
      <c r="W11" s="5"/>
      <c r="X11" s="5"/>
      <c r="Y11" s="5"/>
      <c r="Z11" s="5"/>
    </row>
    <row r="12" spans="1:26" ht="12.75" customHeight="1" x14ac:dyDescent="0.25">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2.75" customHeight="1" x14ac:dyDescent="0.2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2.75" customHeight="1" x14ac:dyDescent="0.2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2.75" customHeight="1" x14ac:dyDescent="0.2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2.75" customHeight="1" x14ac:dyDescent="0.2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2.75" customHeight="1" x14ac:dyDescent="0.2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2.75" customHeight="1" x14ac:dyDescent="0.2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2.75" customHeight="1" x14ac:dyDescent="0.2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2.75" customHeight="1" x14ac:dyDescent="0.2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2.75" customHeight="1" x14ac:dyDescent="0.2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75" customHeight="1" x14ac:dyDescent="0.2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75" customHeight="1" x14ac:dyDescent="0.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75" customHeight="1" x14ac:dyDescent="0.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x14ac:dyDescent="0.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x14ac:dyDescent="0.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4">
    <mergeCell ref="A1:H2"/>
    <mergeCell ref="A3:B3"/>
    <mergeCell ref="D3:H3"/>
    <mergeCell ref="K3:N3"/>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f92c65-ed86-4457-baee-ccd535c9ea21">
      <Terms xmlns="http://schemas.microsoft.com/office/infopath/2007/PartnerControls"/>
    </lcf76f155ced4ddcb4097134ff3c332f>
    <TaxCatchAll xmlns="6c8d291c-a5bf-4049-930d-38db8e991d8e" xsi:nil="true"/>
  </documentManagement>
</p:properties>
</file>

<file path=customXml/itemProps1.xml><?xml version="1.0" encoding="utf-8"?>
<ds:datastoreItem xmlns:ds="http://schemas.openxmlformats.org/officeDocument/2006/customXml" ds:itemID="{C0F4F432-C7C0-460B-B718-CA5C7D43A2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1E7A10-6C2D-4580-A4D2-EC7B8465FD38}">
  <ds:schemaRefs>
    <ds:schemaRef ds:uri="http://schemas.microsoft.com/sharepoint/v3/contenttype/forms"/>
  </ds:schemaRefs>
</ds:datastoreItem>
</file>

<file path=customXml/itemProps3.xml><?xml version="1.0" encoding="utf-8"?>
<ds:datastoreItem xmlns:ds="http://schemas.openxmlformats.org/officeDocument/2006/customXml" ds:itemID="{C5072705-B970-4C6A-9B95-6E8AEA4192EE}">
  <ds:schemaRefs>
    <ds:schemaRef ds:uri="http://schemas.microsoft.com/office/2006/documentManagement/types"/>
    <ds:schemaRef ds:uri="6c8d291c-a5bf-4049-930d-38db8e991d8e"/>
    <ds:schemaRef ds:uri="http://purl.org/dc/terms/"/>
    <ds:schemaRef ds:uri="5ff92c65-ed86-4457-baee-ccd535c9ea21"/>
    <ds:schemaRef ds:uri="http://purl.org/dc/elements/1.1/"/>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 Self-Assessment</vt:lpstr>
      <vt:lpstr>ASSESSMENT RUBRIC</vt:lpstr>
      <vt:lpstr>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Grigg, Robert</dc:creator>
  <cp:keywords/>
  <dc:description/>
  <cp:lastModifiedBy>m.jaberi14979@gmail.com</cp:lastModifiedBy>
  <cp:revision/>
  <dcterms:created xsi:type="dcterms:W3CDTF">2020-09-10T10:56:24Z</dcterms:created>
  <dcterms:modified xsi:type="dcterms:W3CDTF">2024-11-01T15:35:02Z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Order">
    <vt:r8>1900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